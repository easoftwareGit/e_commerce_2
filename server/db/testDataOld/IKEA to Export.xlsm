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 2017\Codecademy\Portfolio\e_commerce_2\testData\"/>
    </mc:Choice>
  </mc:AlternateContent>
  <xr:revisionPtr revIDLastSave="0" documentId="13_ncr:1_{1643B494-6D83-4CF7-A17A-5B7CBFB52338}" xr6:coauthVersionLast="47" xr6:coauthVersionMax="47" xr10:uidLastSave="{00000000-0000-0000-0000-000000000000}"/>
  <bookViews>
    <workbookView xWindow="28680" yWindow="-120" windowWidth="29040" windowHeight="16440" activeTab="3" xr2:uid="{9B892E0C-6777-4AAA-B835-021E062AF031}"/>
  </bookViews>
  <sheets>
    <sheet name="Sheet1" sheetId="1" r:id="rId1"/>
    <sheet name="Sheet2" sheetId="2" r:id="rId2"/>
    <sheet name="Sheet3" sheetId="3" r:id="rId3"/>
    <sheet name="Sheet4" sheetId="4" r:id="rId4"/>
  </sheets>
  <definedNames>
    <definedName name="_xlnm._FilterDatabase" localSheetId="2" hidden="1">Sheet3!$L$18:$L$19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35" i="3" l="1"/>
  <c r="L634" i="3"/>
  <c r="L627" i="3"/>
  <c r="L626" i="3"/>
  <c r="L619" i="3"/>
  <c r="L618" i="3"/>
  <c r="L611" i="3"/>
  <c r="L610" i="3"/>
  <c r="L603" i="3"/>
  <c r="L602" i="3"/>
  <c r="L595" i="3"/>
  <c r="L594" i="3"/>
  <c r="L587" i="3"/>
  <c r="L586" i="3"/>
  <c r="L579" i="3"/>
  <c r="L578" i="3"/>
  <c r="L571" i="3"/>
  <c r="L570" i="3"/>
  <c r="L563" i="3"/>
  <c r="L562" i="3"/>
  <c r="L555" i="3"/>
  <c r="L554" i="3"/>
  <c r="L547" i="3"/>
  <c r="L546" i="3"/>
  <c r="L539" i="3"/>
  <c r="L538" i="3"/>
  <c r="L531" i="3"/>
  <c r="L530" i="3"/>
  <c r="L523" i="3"/>
  <c r="L522" i="3"/>
  <c r="L515" i="3"/>
  <c r="L514" i="3"/>
  <c r="L507" i="3"/>
  <c r="L506" i="3"/>
  <c r="L499" i="3"/>
  <c r="L498" i="3"/>
  <c r="L491" i="3"/>
  <c r="L490" i="3"/>
  <c r="L483" i="3"/>
  <c r="L482" i="3"/>
  <c r="L475" i="3"/>
  <c r="L474" i="3"/>
  <c r="L467" i="3"/>
  <c r="L466" i="3"/>
  <c r="L459" i="3"/>
  <c r="L458" i="3"/>
  <c r="L451" i="3"/>
  <c r="L450" i="3"/>
  <c r="L443" i="3"/>
  <c r="L442" i="3"/>
  <c r="L435" i="3"/>
  <c r="L434" i="3"/>
  <c r="L427" i="3"/>
  <c r="L426" i="3"/>
  <c r="L419" i="3"/>
  <c r="L418" i="3"/>
  <c r="L411" i="3"/>
  <c r="L410" i="3"/>
  <c r="L403" i="3"/>
  <c r="L402" i="3"/>
  <c r="L395" i="3"/>
  <c r="L394" i="3"/>
  <c r="L387" i="3"/>
  <c r="L386" i="3"/>
  <c r="L379" i="3"/>
  <c r="L378" i="3"/>
  <c r="L371" i="3"/>
  <c r="L370" i="3"/>
  <c r="L363" i="3"/>
  <c r="L362" i="3"/>
  <c r="L355" i="3"/>
  <c r="L354" i="3"/>
  <c r="L347" i="3"/>
  <c r="L346" i="3"/>
  <c r="L339" i="3"/>
  <c r="L338" i="3"/>
  <c r="L331" i="3"/>
  <c r="L330" i="3"/>
  <c r="L323" i="3"/>
  <c r="L322" i="3"/>
  <c r="L315" i="3"/>
  <c r="L314" i="3"/>
  <c r="L307" i="3"/>
  <c r="L306" i="3"/>
  <c r="L299" i="3"/>
  <c r="L298" i="3"/>
  <c r="L291" i="3"/>
  <c r="L290" i="3"/>
  <c r="L283" i="3"/>
  <c r="L282" i="3"/>
  <c r="L275" i="3"/>
  <c r="L274" i="3"/>
  <c r="L267" i="3"/>
  <c r="L266" i="3"/>
  <c r="L259" i="3"/>
  <c r="L258" i="3"/>
  <c r="L251" i="3"/>
  <c r="L250" i="3"/>
  <c r="L243" i="3"/>
  <c r="L242" i="3"/>
  <c r="L235" i="3"/>
  <c r="L234" i="3"/>
  <c r="L227" i="3"/>
  <c r="L226" i="3"/>
  <c r="L219" i="3"/>
  <c r="L218" i="3"/>
  <c r="L211" i="3"/>
  <c r="L210" i="3"/>
  <c r="L203" i="3"/>
  <c r="L202" i="3"/>
  <c r="L195" i="3"/>
  <c r="L194" i="3"/>
  <c r="L187" i="3"/>
  <c r="L186" i="3"/>
  <c r="L179" i="3"/>
  <c r="L178" i="3"/>
  <c r="L171" i="3"/>
  <c r="L170" i="3"/>
  <c r="L163" i="3"/>
  <c r="L162" i="3"/>
  <c r="L155" i="3"/>
  <c r="L154" i="3"/>
  <c r="L147" i="3"/>
  <c r="L146" i="3"/>
  <c r="L139" i="3"/>
  <c r="L138" i="3"/>
  <c r="L131" i="3"/>
  <c r="L130" i="3"/>
  <c r="L123" i="3"/>
  <c r="L122" i="3"/>
  <c r="L115" i="3"/>
  <c r="L114" i="3"/>
  <c r="L107" i="3"/>
  <c r="L106" i="3"/>
  <c r="L99" i="3"/>
  <c r="L98" i="3"/>
  <c r="L91" i="3"/>
  <c r="L90" i="3"/>
  <c r="L83" i="3"/>
  <c r="L82" i="3"/>
  <c r="L75" i="3"/>
  <c r="L74" i="3"/>
  <c r="L67" i="3"/>
  <c r="L66" i="3"/>
  <c r="L59" i="3"/>
  <c r="L58" i="3"/>
  <c r="L51" i="3"/>
  <c r="L50" i="3"/>
  <c r="L43" i="3"/>
  <c r="L42" i="3"/>
  <c r="L35" i="3"/>
  <c r="L34" i="3"/>
  <c r="L27" i="3"/>
  <c r="L26" i="3"/>
  <c r="L19" i="3"/>
  <c r="L18" i="3"/>
  <c r="L11" i="3"/>
  <c r="L10" i="3"/>
  <c r="H4" i="3"/>
  <c r="I2" i="3"/>
  <c r="J2" i="3"/>
  <c r="I3" i="3"/>
  <c r="J3" i="3"/>
  <c r="H10" i="3"/>
  <c r="I10" i="3" s="1"/>
  <c r="J10" i="3"/>
  <c r="H11" i="3"/>
  <c r="I11" i="3" s="1"/>
  <c r="J11" i="3"/>
  <c r="H18" i="3"/>
  <c r="I18" i="3" s="1"/>
  <c r="J18" i="3"/>
  <c r="H19" i="3"/>
  <c r="I19" i="3" s="1"/>
  <c r="J19" i="3"/>
  <c r="H26" i="3"/>
  <c r="I26" i="3" s="1"/>
  <c r="J26" i="3"/>
  <c r="H27" i="3"/>
  <c r="I27" i="3" s="1"/>
  <c r="J27" i="3"/>
  <c r="H34" i="3"/>
  <c r="I34" i="3" s="1"/>
  <c r="J34" i="3"/>
  <c r="H35" i="3"/>
  <c r="I35" i="3" s="1"/>
  <c r="J35" i="3"/>
  <c r="H42" i="3"/>
  <c r="J42" i="3"/>
  <c r="H43" i="3"/>
  <c r="I43" i="3" s="1"/>
  <c r="J43" i="3"/>
  <c r="H50" i="3"/>
  <c r="I50" i="3" s="1"/>
  <c r="J50" i="3"/>
  <c r="H51" i="3"/>
  <c r="I51" i="3" s="1"/>
  <c r="J51" i="3"/>
  <c r="H58" i="3"/>
  <c r="I58" i="3" s="1"/>
  <c r="J58" i="3"/>
  <c r="K58" i="3" s="1"/>
  <c r="H59" i="3"/>
  <c r="I59" i="3" s="1"/>
  <c r="J59" i="3"/>
  <c r="H66" i="3"/>
  <c r="I66" i="3" s="1"/>
  <c r="J66" i="3"/>
  <c r="H67" i="3"/>
  <c r="I67" i="3" s="1"/>
  <c r="J67" i="3"/>
  <c r="H74" i="3"/>
  <c r="I74" i="3" s="1"/>
  <c r="J74" i="3"/>
  <c r="H75" i="3"/>
  <c r="I75" i="3" s="1"/>
  <c r="J75" i="3"/>
  <c r="H82" i="3"/>
  <c r="I82" i="3"/>
  <c r="J82" i="3"/>
  <c r="H83" i="3"/>
  <c r="I83" i="3" s="1"/>
  <c r="J83" i="3"/>
  <c r="H90" i="3"/>
  <c r="I90" i="3" s="1"/>
  <c r="J90" i="3"/>
  <c r="H91" i="3"/>
  <c r="I91" i="3" s="1"/>
  <c r="J91" i="3"/>
  <c r="H98" i="3"/>
  <c r="I98" i="3" s="1"/>
  <c r="J98" i="3"/>
  <c r="H99" i="3"/>
  <c r="I99" i="3" s="1"/>
  <c r="J99" i="3"/>
  <c r="H106" i="3"/>
  <c r="I106" i="3" s="1"/>
  <c r="J106" i="3"/>
  <c r="H107" i="3"/>
  <c r="I107" i="3" s="1"/>
  <c r="J107" i="3"/>
  <c r="H114" i="3"/>
  <c r="I114" i="3" s="1"/>
  <c r="J114" i="3"/>
  <c r="H115" i="3"/>
  <c r="I115" i="3" s="1"/>
  <c r="J115" i="3"/>
  <c r="H122" i="3"/>
  <c r="I122" i="3" s="1"/>
  <c r="J122" i="3"/>
  <c r="H123" i="3"/>
  <c r="I123" i="3" s="1"/>
  <c r="J123" i="3"/>
  <c r="H130" i="3"/>
  <c r="I130" i="3" s="1"/>
  <c r="J130" i="3"/>
  <c r="H131" i="3"/>
  <c r="I131" i="3" s="1"/>
  <c r="J131" i="3"/>
  <c r="H138" i="3"/>
  <c r="I138" i="3"/>
  <c r="J138" i="3"/>
  <c r="H139" i="3"/>
  <c r="I139" i="3" s="1"/>
  <c r="J139" i="3"/>
  <c r="H146" i="3"/>
  <c r="I146" i="3" s="1"/>
  <c r="J146" i="3"/>
  <c r="H147" i="3"/>
  <c r="I147" i="3" s="1"/>
  <c r="J147" i="3"/>
  <c r="H154" i="3"/>
  <c r="I154" i="3" s="1"/>
  <c r="J154" i="3"/>
  <c r="H155" i="3"/>
  <c r="I155" i="3" s="1"/>
  <c r="J155" i="3"/>
  <c r="H162" i="3"/>
  <c r="I162" i="3" s="1"/>
  <c r="J162" i="3"/>
  <c r="H163" i="3"/>
  <c r="I163" i="3" s="1"/>
  <c r="J163" i="3"/>
  <c r="H170" i="3"/>
  <c r="I170" i="3" s="1"/>
  <c r="J170" i="3"/>
  <c r="H171" i="3"/>
  <c r="I171" i="3" s="1"/>
  <c r="J171" i="3"/>
  <c r="H178" i="3"/>
  <c r="I178" i="3" s="1"/>
  <c r="J178" i="3"/>
  <c r="H179" i="3"/>
  <c r="I179" i="3" s="1"/>
  <c r="J179" i="3"/>
  <c r="H186" i="3"/>
  <c r="I186" i="3" s="1"/>
  <c r="J186" i="3"/>
  <c r="H187" i="3"/>
  <c r="I187" i="3" s="1"/>
  <c r="J187" i="3"/>
  <c r="H194" i="3"/>
  <c r="I194" i="3" s="1"/>
  <c r="J194" i="3"/>
  <c r="H195" i="3"/>
  <c r="I195" i="3" s="1"/>
  <c r="J195" i="3"/>
  <c r="H202" i="3"/>
  <c r="I202" i="3" s="1"/>
  <c r="J202" i="3"/>
  <c r="H203" i="3"/>
  <c r="I203" i="3" s="1"/>
  <c r="J203" i="3"/>
  <c r="H210" i="3"/>
  <c r="I210" i="3" s="1"/>
  <c r="J210" i="3"/>
  <c r="H211" i="3"/>
  <c r="I211" i="3" s="1"/>
  <c r="J211" i="3"/>
  <c r="H218" i="3"/>
  <c r="I218" i="3" s="1"/>
  <c r="J218" i="3"/>
  <c r="H219" i="3"/>
  <c r="I219" i="3" s="1"/>
  <c r="J219" i="3"/>
  <c r="H226" i="3"/>
  <c r="I226" i="3" s="1"/>
  <c r="J226" i="3"/>
  <c r="H227" i="3"/>
  <c r="I227" i="3" s="1"/>
  <c r="J227" i="3"/>
  <c r="H234" i="3"/>
  <c r="I234" i="3" s="1"/>
  <c r="J234" i="3"/>
  <c r="H235" i="3"/>
  <c r="I235" i="3" s="1"/>
  <c r="J235" i="3"/>
  <c r="H242" i="3"/>
  <c r="I242" i="3" s="1"/>
  <c r="J242" i="3"/>
  <c r="H243" i="3"/>
  <c r="I243" i="3" s="1"/>
  <c r="J243" i="3"/>
  <c r="H250" i="3"/>
  <c r="I250" i="3" s="1"/>
  <c r="J250" i="3"/>
  <c r="H251" i="3"/>
  <c r="I251" i="3" s="1"/>
  <c r="J251" i="3"/>
  <c r="H258" i="3"/>
  <c r="I258" i="3" s="1"/>
  <c r="J258" i="3"/>
  <c r="H259" i="3"/>
  <c r="I259" i="3" s="1"/>
  <c r="J259" i="3"/>
  <c r="H266" i="3"/>
  <c r="I266" i="3" s="1"/>
  <c r="J266" i="3"/>
  <c r="H267" i="3"/>
  <c r="I267" i="3" s="1"/>
  <c r="J267" i="3"/>
  <c r="H274" i="3"/>
  <c r="I274" i="3" s="1"/>
  <c r="J274" i="3"/>
  <c r="H275" i="3"/>
  <c r="I275" i="3" s="1"/>
  <c r="J275" i="3"/>
  <c r="H282" i="3"/>
  <c r="I282" i="3" s="1"/>
  <c r="J282" i="3"/>
  <c r="H283" i="3"/>
  <c r="I283" i="3" s="1"/>
  <c r="J283" i="3"/>
  <c r="H290" i="3"/>
  <c r="I290" i="3" s="1"/>
  <c r="J290" i="3"/>
  <c r="H291" i="3"/>
  <c r="I291" i="3" s="1"/>
  <c r="J291" i="3"/>
  <c r="H298" i="3"/>
  <c r="I298" i="3" s="1"/>
  <c r="J298" i="3"/>
  <c r="H299" i="3"/>
  <c r="I299" i="3" s="1"/>
  <c r="J299" i="3"/>
  <c r="H306" i="3"/>
  <c r="I306" i="3" s="1"/>
  <c r="J306" i="3"/>
  <c r="H307" i="3"/>
  <c r="I307" i="3" s="1"/>
  <c r="J307" i="3"/>
  <c r="H314" i="3"/>
  <c r="I314" i="3" s="1"/>
  <c r="J314" i="3"/>
  <c r="H315" i="3"/>
  <c r="I315" i="3" s="1"/>
  <c r="J315" i="3"/>
  <c r="H322" i="3"/>
  <c r="I322" i="3" s="1"/>
  <c r="J322" i="3"/>
  <c r="H323" i="3"/>
  <c r="J323" i="3"/>
  <c r="H330" i="3"/>
  <c r="J330" i="3"/>
  <c r="H331" i="3"/>
  <c r="I331" i="3" s="1"/>
  <c r="J331" i="3"/>
  <c r="H338" i="3"/>
  <c r="I338" i="3" s="1"/>
  <c r="J338" i="3"/>
  <c r="H339" i="3"/>
  <c r="I339" i="3" s="1"/>
  <c r="J339" i="3"/>
  <c r="H346" i="3"/>
  <c r="I346" i="3" s="1"/>
  <c r="J346" i="3"/>
  <c r="H347" i="3"/>
  <c r="I347" i="3" s="1"/>
  <c r="J347" i="3"/>
  <c r="H354" i="3"/>
  <c r="I354" i="3" s="1"/>
  <c r="J354" i="3"/>
  <c r="H355" i="3"/>
  <c r="I355" i="3" s="1"/>
  <c r="J355" i="3"/>
  <c r="H362" i="3"/>
  <c r="I362" i="3" s="1"/>
  <c r="J362" i="3"/>
  <c r="H363" i="3"/>
  <c r="I363" i="3" s="1"/>
  <c r="J363" i="3"/>
  <c r="H370" i="3"/>
  <c r="I370" i="3" s="1"/>
  <c r="J370" i="3"/>
  <c r="H371" i="3"/>
  <c r="J371" i="3"/>
  <c r="H378" i="3"/>
  <c r="J378" i="3"/>
  <c r="H379" i="3"/>
  <c r="I379" i="3" s="1"/>
  <c r="J379" i="3"/>
  <c r="H386" i="3"/>
  <c r="I386" i="3" s="1"/>
  <c r="J386" i="3"/>
  <c r="H387" i="3"/>
  <c r="I387" i="3" s="1"/>
  <c r="J387" i="3"/>
  <c r="H394" i="3"/>
  <c r="I394" i="3" s="1"/>
  <c r="J394" i="3"/>
  <c r="H395" i="3"/>
  <c r="I395" i="3" s="1"/>
  <c r="J395" i="3"/>
  <c r="H402" i="3"/>
  <c r="I402" i="3" s="1"/>
  <c r="J402" i="3"/>
  <c r="H403" i="3"/>
  <c r="I403" i="3" s="1"/>
  <c r="J403" i="3"/>
  <c r="H410" i="3"/>
  <c r="I410" i="3" s="1"/>
  <c r="J410" i="3"/>
  <c r="H411" i="3"/>
  <c r="I411" i="3" s="1"/>
  <c r="J411" i="3"/>
  <c r="H418" i="3"/>
  <c r="I418" i="3" s="1"/>
  <c r="J418" i="3"/>
  <c r="H419" i="3"/>
  <c r="J419" i="3"/>
  <c r="H426" i="3"/>
  <c r="J426" i="3"/>
  <c r="H427" i="3"/>
  <c r="I427" i="3" s="1"/>
  <c r="J427" i="3"/>
  <c r="H434" i="3"/>
  <c r="I434" i="3" s="1"/>
  <c r="J434" i="3"/>
  <c r="H435" i="3"/>
  <c r="I435" i="3" s="1"/>
  <c r="J435" i="3"/>
  <c r="H442" i="3"/>
  <c r="I442" i="3" s="1"/>
  <c r="J442" i="3"/>
  <c r="H443" i="3"/>
  <c r="I443" i="3" s="1"/>
  <c r="J443" i="3"/>
  <c r="H450" i="3"/>
  <c r="I450" i="3" s="1"/>
  <c r="J450" i="3"/>
  <c r="H451" i="3"/>
  <c r="I451" i="3" s="1"/>
  <c r="J451" i="3"/>
  <c r="H458" i="3"/>
  <c r="I458" i="3" s="1"/>
  <c r="J458" i="3"/>
  <c r="H459" i="3"/>
  <c r="I459" i="3" s="1"/>
  <c r="J459" i="3"/>
  <c r="H466" i="3"/>
  <c r="I466" i="3" s="1"/>
  <c r="J466" i="3"/>
  <c r="H467" i="3"/>
  <c r="J467" i="3"/>
  <c r="H474" i="3"/>
  <c r="I474" i="3" s="1"/>
  <c r="J474" i="3"/>
  <c r="H475" i="3"/>
  <c r="I475" i="3" s="1"/>
  <c r="J475" i="3"/>
  <c r="H482" i="3"/>
  <c r="I482" i="3" s="1"/>
  <c r="J482" i="3"/>
  <c r="H483" i="3"/>
  <c r="I483" i="3" s="1"/>
  <c r="J483" i="3"/>
  <c r="H490" i="3"/>
  <c r="I490" i="3" s="1"/>
  <c r="J490" i="3"/>
  <c r="H491" i="3"/>
  <c r="I491" i="3" s="1"/>
  <c r="J491" i="3"/>
  <c r="H498" i="3"/>
  <c r="I498" i="3" s="1"/>
  <c r="J498" i="3"/>
  <c r="H499" i="3"/>
  <c r="I499" i="3" s="1"/>
  <c r="J499" i="3"/>
  <c r="H506" i="3"/>
  <c r="I506" i="3" s="1"/>
  <c r="J506" i="3"/>
  <c r="H507" i="3"/>
  <c r="I507" i="3" s="1"/>
  <c r="J507" i="3"/>
  <c r="H514" i="3"/>
  <c r="I514" i="3" s="1"/>
  <c r="J514" i="3"/>
  <c r="H515" i="3"/>
  <c r="J515" i="3"/>
  <c r="H522" i="3"/>
  <c r="J522" i="3"/>
  <c r="H523" i="3"/>
  <c r="I523" i="3" s="1"/>
  <c r="J523" i="3"/>
  <c r="H530" i="3"/>
  <c r="I530" i="3" s="1"/>
  <c r="J530" i="3"/>
  <c r="H531" i="3"/>
  <c r="I531" i="3" s="1"/>
  <c r="J531" i="3"/>
  <c r="H538" i="3"/>
  <c r="I538" i="3" s="1"/>
  <c r="J538" i="3"/>
  <c r="H539" i="3"/>
  <c r="I539" i="3" s="1"/>
  <c r="J539" i="3"/>
  <c r="H546" i="3"/>
  <c r="I546" i="3" s="1"/>
  <c r="J546" i="3"/>
  <c r="H547" i="3"/>
  <c r="I547" i="3" s="1"/>
  <c r="J547" i="3"/>
  <c r="H554" i="3"/>
  <c r="I554" i="3" s="1"/>
  <c r="J554" i="3"/>
  <c r="H555" i="3"/>
  <c r="I555" i="3" s="1"/>
  <c r="J555" i="3"/>
  <c r="H562" i="3"/>
  <c r="I562" i="3" s="1"/>
  <c r="J562" i="3"/>
  <c r="H563" i="3"/>
  <c r="J563" i="3"/>
  <c r="H570" i="3"/>
  <c r="J570" i="3"/>
  <c r="H571" i="3"/>
  <c r="I571" i="3" s="1"/>
  <c r="J571" i="3"/>
  <c r="H578" i="3"/>
  <c r="I578" i="3" s="1"/>
  <c r="J578" i="3"/>
  <c r="H579" i="3"/>
  <c r="I579" i="3" s="1"/>
  <c r="J579" i="3"/>
  <c r="H586" i="3"/>
  <c r="I586" i="3" s="1"/>
  <c r="J586" i="3"/>
  <c r="H587" i="3"/>
  <c r="I587" i="3" s="1"/>
  <c r="J587" i="3"/>
  <c r="H594" i="3"/>
  <c r="J594" i="3"/>
  <c r="H595" i="3"/>
  <c r="I595" i="3" s="1"/>
  <c r="J595" i="3"/>
  <c r="H602" i="3"/>
  <c r="I602" i="3" s="1"/>
  <c r="J602" i="3"/>
  <c r="H603" i="3"/>
  <c r="I603" i="3" s="1"/>
  <c r="J603" i="3"/>
  <c r="H610" i="3"/>
  <c r="I610" i="3" s="1"/>
  <c r="J610" i="3"/>
  <c r="H611" i="3"/>
  <c r="J611" i="3"/>
  <c r="H618" i="3"/>
  <c r="K618" i="3" s="1"/>
  <c r="J618" i="3"/>
  <c r="H619" i="3"/>
  <c r="I619" i="3" s="1"/>
  <c r="J619" i="3"/>
  <c r="H626" i="3"/>
  <c r="I626" i="3" s="1"/>
  <c r="J626" i="3"/>
  <c r="H627" i="3"/>
  <c r="I627" i="3" s="1"/>
  <c r="J627" i="3"/>
  <c r="H634" i="3"/>
  <c r="I634" i="3" s="1"/>
  <c r="J634" i="3"/>
  <c r="H635" i="3"/>
  <c r="I635" i="3" s="1"/>
  <c r="J635" i="3"/>
  <c r="H642" i="3"/>
  <c r="I642" i="3" s="1"/>
  <c r="J642" i="3"/>
  <c r="I643" i="3"/>
  <c r="J643" i="3"/>
  <c r="I644" i="3"/>
  <c r="J644" i="3"/>
  <c r="I645" i="3"/>
  <c r="J645" i="3"/>
  <c r="I646" i="3"/>
  <c r="J646" i="3"/>
  <c r="K646" i="3" s="1"/>
  <c r="J647" i="3"/>
  <c r="I4" i="3"/>
  <c r="H5" i="3"/>
  <c r="I5" i="3" s="1"/>
  <c r="H6" i="3"/>
  <c r="H7" i="3"/>
  <c r="H8" i="3"/>
  <c r="H9" i="3"/>
  <c r="H12" i="3"/>
  <c r="H13" i="3"/>
  <c r="H14" i="3"/>
  <c r="H15" i="3"/>
  <c r="I15" i="3" s="1"/>
  <c r="H16" i="3"/>
  <c r="H17" i="3"/>
  <c r="I17" i="3" s="1"/>
  <c r="H20" i="3"/>
  <c r="I20" i="3" s="1"/>
  <c r="H21" i="3"/>
  <c r="H22" i="3"/>
  <c r="H23" i="3"/>
  <c r="H24" i="3"/>
  <c r="H25" i="3"/>
  <c r="H28" i="3"/>
  <c r="H29" i="3"/>
  <c r="H30" i="3"/>
  <c r="H31" i="3"/>
  <c r="I31" i="3" s="1"/>
  <c r="H32" i="3"/>
  <c r="H33" i="3"/>
  <c r="H36" i="3"/>
  <c r="I36" i="3" s="1"/>
  <c r="H37" i="3"/>
  <c r="H38" i="3"/>
  <c r="H39" i="3"/>
  <c r="H40" i="3"/>
  <c r="H41" i="3"/>
  <c r="H44" i="3"/>
  <c r="H45" i="3"/>
  <c r="H46" i="3"/>
  <c r="H47" i="3"/>
  <c r="I47" i="3" s="1"/>
  <c r="H48" i="3"/>
  <c r="H49" i="3"/>
  <c r="I49" i="3" s="1"/>
  <c r="H52" i="3"/>
  <c r="H53" i="3"/>
  <c r="H54" i="3"/>
  <c r="H55" i="3"/>
  <c r="H56" i="3"/>
  <c r="H57" i="3"/>
  <c r="H60" i="3"/>
  <c r="H61" i="3"/>
  <c r="H62" i="3"/>
  <c r="H63" i="3"/>
  <c r="H64" i="3"/>
  <c r="H65" i="3"/>
  <c r="I65" i="3" s="1"/>
  <c r="H68" i="3"/>
  <c r="H69" i="3"/>
  <c r="H70" i="3"/>
  <c r="H71" i="3"/>
  <c r="H72" i="3"/>
  <c r="H73" i="3"/>
  <c r="H76" i="3"/>
  <c r="H77" i="3"/>
  <c r="H78" i="3"/>
  <c r="H79" i="3"/>
  <c r="I79" i="3" s="1"/>
  <c r="H80" i="3"/>
  <c r="H81" i="3"/>
  <c r="H84" i="3"/>
  <c r="I84" i="3" s="1"/>
  <c r="H85" i="3"/>
  <c r="H86" i="3"/>
  <c r="H87" i="3"/>
  <c r="I87" i="3" s="1"/>
  <c r="H88" i="3"/>
  <c r="H89" i="3"/>
  <c r="H92" i="3"/>
  <c r="H93" i="3"/>
  <c r="H94" i="3"/>
  <c r="H95" i="3"/>
  <c r="I95" i="3" s="1"/>
  <c r="H96" i="3"/>
  <c r="H97" i="3"/>
  <c r="I97" i="3" s="1"/>
  <c r="H100" i="3"/>
  <c r="H101" i="3"/>
  <c r="I101" i="3" s="1"/>
  <c r="H102" i="3"/>
  <c r="H103" i="3"/>
  <c r="H104" i="3"/>
  <c r="H105" i="3"/>
  <c r="H108" i="3"/>
  <c r="H109" i="3"/>
  <c r="H110" i="3"/>
  <c r="H111" i="3"/>
  <c r="I111" i="3" s="1"/>
  <c r="H112" i="3"/>
  <c r="H113" i="3"/>
  <c r="I113" i="3" s="1"/>
  <c r="H116" i="3"/>
  <c r="I116" i="3" s="1"/>
  <c r="H117" i="3"/>
  <c r="H118" i="3"/>
  <c r="I118" i="3" s="1"/>
  <c r="H119" i="3"/>
  <c r="H120" i="3"/>
  <c r="H121" i="3"/>
  <c r="H124" i="3"/>
  <c r="H125" i="3"/>
  <c r="H126" i="3"/>
  <c r="I126" i="3" s="1"/>
  <c r="H127" i="3"/>
  <c r="H128" i="3"/>
  <c r="H129" i="3"/>
  <c r="I129" i="3" s="1"/>
  <c r="H132" i="3"/>
  <c r="H133" i="3"/>
  <c r="H134" i="3"/>
  <c r="H135" i="3"/>
  <c r="H136" i="3"/>
  <c r="H137" i="3"/>
  <c r="H140" i="3"/>
  <c r="H141" i="3"/>
  <c r="H142" i="3"/>
  <c r="I142" i="3" s="1"/>
  <c r="H143" i="3"/>
  <c r="I143" i="3" s="1"/>
  <c r="H144" i="3"/>
  <c r="H145" i="3"/>
  <c r="H148" i="3"/>
  <c r="I148" i="3" s="1"/>
  <c r="H149" i="3"/>
  <c r="I149" i="3" s="1"/>
  <c r="H150" i="3"/>
  <c r="H151" i="3"/>
  <c r="H152" i="3"/>
  <c r="H153" i="3"/>
  <c r="H156" i="3"/>
  <c r="H157" i="3"/>
  <c r="H158" i="3"/>
  <c r="H159" i="3"/>
  <c r="I159" i="3" s="1"/>
  <c r="H160" i="3"/>
  <c r="I160" i="3" s="1"/>
  <c r="H161" i="3"/>
  <c r="I161" i="3" s="1"/>
  <c r="H164" i="3"/>
  <c r="H165" i="3"/>
  <c r="I165" i="3" s="1"/>
  <c r="H166" i="3"/>
  <c r="I166" i="3" s="1"/>
  <c r="H167" i="3"/>
  <c r="I167" i="3" s="1"/>
  <c r="J641" i="3"/>
  <c r="H641" i="3"/>
  <c r="I641" i="3" s="1"/>
  <c r="J640" i="3"/>
  <c r="H640" i="3"/>
  <c r="J639" i="3"/>
  <c r="H639" i="3"/>
  <c r="J638" i="3"/>
  <c r="H638" i="3"/>
  <c r="I638" i="3" s="1"/>
  <c r="J637" i="3"/>
  <c r="H637" i="3"/>
  <c r="I637" i="3" s="1"/>
  <c r="J636" i="3"/>
  <c r="H636" i="3"/>
  <c r="J633" i="3"/>
  <c r="H633" i="3"/>
  <c r="I633" i="3" s="1"/>
  <c r="J632" i="3"/>
  <c r="H632" i="3"/>
  <c r="J631" i="3"/>
  <c r="H631" i="3"/>
  <c r="I631" i="3" s="1"/>
  <c r="J630" i="3"/>
  <c r="H630" i="3"/>
  <c r="J629" i="3"/>
  <c r="H629" i="3"/>
  <c r="I629" i="3" s="1"/>
  <c r="J628" i="3"/>
  <c r="H628" i="3"/>
  <c r="J625" i="3"/>
  <c r="H625" i="3"/>
  <c r="J624" i="3"/>
  <c r="H624" i="3"/>
  <c r="J623" i="3"/>
  <c r="H623" i="3"/>
  <c r="I623" i="3" s="1"/>
  <c r="J622" i="3"/>
  <c r="H622" i="3"/>
  <c r="J621" i="3"/>
  <c r="H621" i="3"/>
  <c r="I621" i="3" s="1"/>
  <c r="J620" i="3"/>
  <c r="H620" i="3"/>
  <c r="J617" i="3"/>
  <c r="H617" i="3"/>
  <c r="I617" i="3" s="1"/>
  <c r="J616" i="3"/>
  <c r="H616" i="3"/>
  <c r="J615" i="3"/>
  <c r="H615" i="3"/>
  <c r="J614" i="3"/>
  <c r="H614" i="3"/>
  <c r="I614" i="3" s="1"/>
  <c r="J613" i="3"/>
  <c r="H613" i="3"/>
  <c r="I613" i="3" s="1"/>
  <c r="J612" i="3"/>
  <c r="H612" i="3"/>
  <c r="J609" i="3"/>
  <c r="H609" i="3"/>
  <c r="I609" i="3" s="1"/>
  <c r="J608" i="3"/>
  <c r="H608" i="3"/>
  <c r="J607" i="3"/>
  <c r="H607" i="3"/>
  <c r="I607" i="3" s="1"/>
  <c r="J606" i="3"/>
  <c r="H606" i="3"/>
  <c r="J605" i="3"/>
  <c r="H605" i="3"/>
  <c r="I605" i="3" s="1"/>
  <c r="J604" i="3"/>
  <c r="H604" i="3"/>
  <c r="J601" i="3"/>
  <c r="H601" i="3"/>
  <c r="I601" i="3" s="1"/>
  <c r="J600" i="3"/>
  <c r="H600" i="3"/>
  <c r="J599" i="3"/>
  <c r="H599" i="3"/>
  <c r="J598" i="3"/>
  <c r="H598" i="3"/>
  <c r="I598" i="3" s="1"/>
  <c r="J597" i="3"/>
  <c r="H597" i="3"/>
  <c r="I597" i="3" s="1"/>
  <c r="J596" i="3"/>
  <c r="H596" i="3"/>
  <c r="J593" i="3"/>
  <c r="H593" i="3"/>
  <c r="I593" i="3" s="1"/>
  <c r="J592" i="3"/>
  <c r="H592" i="3"/>
  <c r="J591" i="3"/>
  <c r="H591" i="3"/>
  <c r="I591" i="3" s="1"/>
  <c r="J590" i="3"/>
  <c r="H590" i="3"/>
  <c r="I590" i="3" s="1"/>
  <c r="J589" i="3"/>
  <c r="H589" i="3"/>
  <c r="I589" i="3" s="1"/>
  <c r="J588" i="3"/>
  <c r="H588" i="3"/>
  <c r="J585" i="3"/>
  <c r="H585" i="3"/>
  <c r="I585" i="3" s="1"/>
  <c r="J584" i="3"/>
  <c r="H584" i="3"/>
  <c r="J583" i="3"/>
  <c r="H583" i="3"/>
  <c r="I583" i="3" s="1"/>
  <c r="J582" i="3"/>
  <c r="H582" i="3"/>
  <c r="J581" i="3"/>
  <c r="H581" i="3"/>
  <c r="I581" i="3" s="1"/>
  <c r="J580" i="3"/>
  <c r="H580" i="3"/>
  <c r="J577" i="3"/>
  <c r="H577" i="3"/>
  <c r="J576" i="3"/>
  <c r="H576" i="3"/>
  <c r="J575" i="3"/>
  <c r="H575" i="3"/>
  <c r="I575" i="3" s="1"/>
  <c r="J574" i="3"/>
  <c r="H574" i="3"/>
  <c r="J573" i="3"/>
  <c r="H573" i="3"/>
  <c r="I573" i="3" s="1"/>
  <c r="J572" i="3"/>
  <c r="H572" i="3"/>
  <c r="J569" i="3"/>
  <c r="H569" i="3"/>
  <c r="I569" i="3" s="1"/>
  <c r="J568" i="3"/>
  <c r="H568" i="3"/>
  <c r="J567" i="3"/>
  <c r="H567" i="3"/>
  <c r="I567" i="3" s="1"/>
  <c r="J566" i="3"/>
  <c r="H566" i="3"/>
  <c r="I566" i="3" s="1"/>
  <c r="J565" i="3"/>
  <c r="H565" i="3"/>
  <c r="J564" i="3"/>
  <c r="H564" i="3"/>
  <c r="J561" i="3"/>
  <c r="H561" i="3"/>
  <c r="I561" i="3" s="1"/>
  <c r="J560" i="3"/>
  <c r="H560" i="3"/>
  <c r="J559" i="3"/>
  <c r="H559" i="3"/>
  <c r="I559" i="3" s="1"/>
  <c r="J558" i="3"/>
  <c r="H558" i="3"/>
  <c r="J557" i="3"/>
  <c r="H557" i="3"/>
  <c r="I557" i="3" s="1"/>
  <c r="J556" i="3"/>
  <c r="H556" i="3"/>
  <c r="J553" i="3"/>
  <c r="H553" i="3"/>
  <c r="I553" i="3" s="1"/>
  <c r="J552" i="3"/>
  <c r="H552" i="3"/>
  <c r="J551" i="3"/>
  <c r="H551" i="3"/>
  <c r="J550" i="3"/>
  <c r="H550" i="3"/>
  <c r="I550" i="3" s="1"/>
  <c r="J549" i="3"/>
  <c r="H549" i="3"/>
  <c r="I549" i="3" s="1"/>
  <c r="J548" i="3"/>
  <c r="H548" i="3"/>
  <c r="J545" i="3"/>
  <c r="H545" i="3"/>
  <c r="J544" i="3"/>
  <c r="H544" i="3"/>
  <c r="J543" i="3"/>
  <c r="H543" i="3"/>
  <c r="I543" i="3" s="1"/>
  <c r="J542" i="3"/>
  <c r="H542" i="3"/>
  <c r="I542" i="3" s="1"/>
  <c r="J541" i="3"/>
  <c r="H541" i="3"/>
  <c r="I541" i="3" s="1"/>
  <c r="J540" i="3"/>
  <c r="H540" i="3"/>
  <c r="J537" i="3"/>
  <c r="H537" i="3"/>
  <c r="I537" i="3" s="1"/>
  <c r="J536" i="3"/>
  <c r="H536" i="3"/>
  <c r="J535" i="3"/>
  <c r="H535" i="3"/>
  <c r="I535" i="3" s="1"/>
  <c r="J534" i="3"/>
  <c r="H534" i="3"/>
  <c r="J533" i="3"/>
  <c r="H533" i="3"/>
  <c r="I533" i="3" s="1"/>
  <c r="J532" i="3"/>
  <c r="H532" i="3"/>
  <c r="J529" i="3"/>
  <c r="H529" i="3"/>
  <c r="I529" i="3" s="1"/>
  <c r="J528" i="3"/>
  <c r="H528" i="3"/>
  <c r="J527" i="3"/>
  <c r="H527" i="3"/>
  <c r="J526" i="3"/>
  <c r="H526" i="3"/>
  <c r="I526" i="3" s="1"/>
  <c r="J525" i="3"/>
  <c r="H525" i="3"/>
  <c r="I525" i="3" s="1"/>
  <c r="J524" i="3"/>
  <c r="H524" i="3"/>
  <c r="J521" i="3"/>
  <c r="H521" i="3"/>
  <c r="J520" i="3"/>
  <c r="H520" i="3"/>
  <c r="J519" i="3"/>
  <c r="H519" i="3"/>
  <c r="I519" i="3" s="1"/>
  <c r="J518" i="3"/>
  <c r="H518" i="3"/>
  <c r="I518" i="3" s="1"/>
  <c r="J517" i="3"/>
  <c r="H517" i="3"/>
  <c r="I517" i="3" s="1"/>
  <c r="J516" i="3"/>
  <c r="H516" i="3"/>
  <c r="J513" i="3"/>
  <c r="H513" i="3"/>
  <c r="I513" i="3" s="1"/>
  <c r="J512" i="3"/>
  <c r="H512" i="3"/>
  <c r="J511" i="3"/>
  <c r="H511" i="3"/>
  <c r="I511" i="3" s="1"/>
  <c r="J510" i="3"/>
  <c r="H510" i="3"/>
  <c r="J509" i="3"/>
  <c r="H509" i="3"/>
  <c r="J508" i="3"/>
  <c r="H508" i="3"/>
  <c r="J505" i="3"/>
  <c r="H505" i="3"/>
  <c r="I505" i="3" s="1"/>
  <c r="J504" i="3"/>
  <c r="H504" i="3"/>
  <c r="J503" i="3"/>
  <c r="H503" i="3"/>
  <c r="I503" i="3" s="1"/>
  <c r="J502" i="3"/>
  <c r="H502" i="3"/>
  <c r="J501" i="3"/>
  <c r="H501" i="3"/>
  <c r="I501" i="3" s="1"/>
  <c r="J500" i="3"/>
  <c r="H500" i="3"/>
  <c r="J497" i="3"/>
  <c r="H497" i="3"/>
  <c r="J496" i="3"/>
  <c r="H496" i="3"/>
  <c r="J495" i="3"/>
  <c r="H495" i="3"/>
  <c r="I495" i="3" s="1"/>
  <c r="J494" i="3"/>
  <c r="H494" i="3"/>
  <c r="I494" i="3" s="1"/>
  <c r="J493" i="3"/>
  <c r="H493" i="3"/>
  <c r="I493" i="3" s="1"/>
  <c r="J492" i="3"/>
  <c r="H492" i="3"/>
  <c r="J489" i="3"/>
  <c r="H489" i="3"/>
  <c r="I489" i="3" s="1"/>
  <c r="J488" i="3"/>
  <c r="H488" i="3"/>
  <c r="J487" i="3"/>
  <c r="H487" i="3"/>
  <c r="J486" i="3"/>
  <c r="H486" i="3"/>
  <c r="J485" i="3"/>
  <c r="H485" i="3"/>
  <c r="I485" i="3" s="1"/>
  <c r="J484" i="3"/>
  <c r="H484" i="3"/>
  <c r="J481" i="3"/>
  <c r="H481" i="3"/>
  <c r="J480" i="3"/>
  <c r="H480" i="3"/>
  <c r="J479" i="3"/>
  <c r="H479" i="3"/>
  <c r="J478" i="3"/>
  <c r="H478" i="3"/>
  <c r="J477" i="3"/>
  <c r="H477" i="3"/>
  <c r="I477" i="3" s="1"/>
  <c r="J476" i="3"/>
  <c r="H476" i="3"/>
  <c r="J473" i="3"/>
  <c r="H473" i="3"/>
  <c r="I473" i="3" s="1"/>
  <c r="J472" i="3"/>
  <c r="H472" i="3"/>
  <c r="J471" i="3"/>
  <c r="H471" i="3"/>
  <c r="J470" i="3"/>
  <c r="H470" i="3"/>
  <c r="I470" i="3" s="1"/>
  <c r="J469" i="3"/>
  <c r="H469" i="3"/>
  <c r="I469" i="3" s="1"/>
  <c r="J468" i="3"/>
  <c r="H468" i="3"/>
  <c r="J465" i="3"/>
  <c r="H465" i="3"/>
  <c r="I465" i="3" s="1"/>
  <c r="J464" i="3"/>
  <c r="H464" i="3"/>
  <c r="J463" i="3"/>
  <c r="H463" i="3"/>
  <c r="J462" i="3"/>
  <c r="H462" i="3"/>
  <c r="J461" i="3"/>
  <c r="H461" i="3"/>
  <c r="I461" i="3" s="1"/>
  <c r="J460" i="3"/>
  <c r="H460" i="3"/>
  <c r="J457" i="3"/>
  <c r="H457" i="3"/>
  <c r="I457" i="3" s="1"/>
  <c r="J456" i="3"/>
  <c r="H456" i="3"/>
  <c r="J455" i="3"/>
  <c r="H455" i="3"/>
  <c r="J454" i="3"/>
  <c r="H454" i="3"/>
  <c r="J453" i="3"/>
  <c r="H453" i="3"/>
  <c r="I453" i="3" s="1"/>
  <c r="J452" i="3"/>
  <c r="H452" i="3"/>
  <c r="J449" i="3"/>
  <c r="H449" i="3"/>
  <c r="I449" i="3" s="1"/>
  <c r="J448" i="3"/>
  <c r="H448" i="3"/>
  <c r="J447" i="3"/>
  <c r="H447" i="3"/>
  <c r="J446" i="3"/>
  <c r="H446" i="3"/>
  <c r="J445" i="3"/>
  <c r="H445" i="3"/>
  <c r="J444" i="3"/>
  <c r="H444" i="3"/>
  <c r="J441" i="3"/>
  <c r="H441" i="3"/>
  <c r="I441" i="3" s="1"/>
  <c r="J440" i="3"/>
  <c r="H440" i="3"/>
  <c r="J439" i="3"/>
  <c r="H439" i="3"/>
  <c r="I439" i="3" s="1"/>
  <c r="J438" i="3"/>
  <c r="H438" i="3"/>
  <c r="J437" i="3"/>
  <c r="H437" i="3"/>
  <c r="J436" i="3"/>
  <c r="H436" i="3"/>
  <c r="J433" i="3"/>
  <c r="H433" i="3"/>
  <c r="I433" i="3" s="1"/>
  <c r="J432" i="3"/>
  <c r="H432" i="3"/>
  <c r="J431" i="3"/>
  <c r="H431" i="3"/>
  <c r="J430" i="3"/>
  <c r="H430" i="3"/>
  <c r="J429" i="3"/>
  <c r="H429" i="3"/>
  <c r="I429" i="3" s="1"/>
  <c r="J428" i="3"/>
  <c r="H428" i="3"/>
  <c r="I428" i="3" s="1"/>
  <c r="J425" i="3"/>
  <c r="H425" i="3"/>
  <c r="J424" i="3"/>
  <c r="H424" i="3"/>
  <c r="J423" i="3"/>
  <c r="H423" i="3"/>
  <c r="I423" i="3" s="1"/>
  <c r="J422" i="3"/>
  <c r="H422" i="3"/>
  <c r="I422" i="3" s="1"/>
  <c r="J421" i="3"/>
  <c r="H421" i="3"/>
  <c r="I421" i="3" s="1"/>
  <c r="J420" i="3"/>
  <c r="H420" i="3"/>
  <c r="I420" i="3" s="1"/>
  <c r="J417" i="3"/>
  <c r="H417" i="3"/>
  <c r="I417" i="3" s="1"/>
  <c r="J416" i="3"/>
  <c r="H416" i="3"/>
  <c r="I416" i="3" s="1"/>
  <c r="J415" i="3"/>
  <c r="H415" i="3"/>
  <c r="I415" i="3" s="1"/>
  <c r="J414" i="3"/>
  <c r="H414" i="3"/>
  <c r="J413" i="3"/>
  <c r="H413" i="3"/>
  <c r="J412" i="3"/>
  <c r="H412" i="3"/>
  <c r="J409" i="3"/>
  <c r="H409" i="3"/>
  <c r="I409" i="3" s="1"/>
  <c r="J408" i="3"/>
  <c r="H408" i="3"/>
  <c r="J407" i="3"/>
  <c r="H407" i="3"/>
  <c r="J406" i="3"/>
  <c r="H406" i="3"/>
  <c r="J405" i="3"/>
  <c r="H405" i="3"/>
  <c r="I405" i="3" s="1"/>
  <c r="J404" i="3"/>
  <c r="H404" i="3"/>
  <c r="J401" i="3"/>
  <c r="H401" i="3"/>
  <c r="I401" i="3" s="1"/>
  <c r="J400" i="3"/>
  <c r="H400" i="3"/>
  <c r="J399" i="3"/>
  <c r="H399" i="3"/>
  <c r="J398" i="3"/>
  <c r="H398" i="3"/>
  <c r="J397" i="3"/>
  <c r="H397" i="3"/>
  <c r="I397" i="3" s="1"/>
  <c r="J396" i="3"/>
  <c r="H396" i="3"/>
  <c r="I396" i="3" s="1"/>
  <c r="J393" i="3"/>
  <c r="H393" i="3"/>
  <c r="J392" i="3"/>
  <c r="H392" i="3"/>
  <c r="I392" i="3" s="1"/>
  <c r="J391" i="3"/>
  <c r="H391" i="3"/>
  <c r="I391" i="3" s="1"/>
  <c r="J390" i="3"/>
  <c r="H390" i="3"/>
  <c r="I390" i="3" s="1"/>
  <c r="J389" i="3"/>
  <c r="H389" i="3"/>
  <c r="J388" i="3"/>
  <c r="H388" i="3"/>
  <c r="J385" i="3"/>
  <c r="H385" i="3"/>
  <c r="J384" i="3"/>
  <c r="H384" i="3"/>
  <c r="J383" i="3"/>
  <c r="H383" i="3"/>
  <c r="I383" i="3" s="1"/>
  <c r="J382" i="3"/>
  <c r="H382" i="3"/>
  <c r="J381" i="3"/>
  <c r="H381" i="3"/>
  <c r="I381" i="3" s="1"/>
  <c r="J380" i="3"/>
  <c r="H380" i="3"/>
  <c r="I380" i="3" s="1"/>
  <c r="J377" i="3"/>
  <c r="H377" i="3"/>
  <c r="J376" i="3"/>
  <c r="H376" i="3"/>
  <c r="J375" i="3"/>
  <c r="H375" i="3"/>
  <c r="I375" i="3" s="1"/>
  <c r="J374" i="3"/>
  <c r="H374" i="3"/>
  <c r="I374" i="3" s="1"/>
  <c r="J373" i="3"/>
  <c r="H373" i="3"/>
  <c r="I373" i="3" s="1"/>
  <c r="J372" i="3"/>
  <c r="H372" i="3"/>
  <c r="J369" i="3"/>
  <c r="H369" i="3"/>
  <c r="I369" i="3" s="1"/>
  <c r="J368" i="3"/>
  <c r="H368" i="3"/>
  <c r="J367" i="3"/>
  <c r="H367" i="3"/>
  <c r="I367" i="3" s="1"/>
  <c r="J366" i="3"/>
  <c r="H366" i="3"/>
  <c r="J365" i="3"/>
  <c r="H365" i="3"/>
  <c r="I365" i="3" s="1"/>
  <c r="J364" i="3"/>
  <c r="H364" i="3"/>
  <c r="J361" i="3"/>
  <c r="H361" i="3"/>
  <c r="I361" i="3" s="1"/>
  <c r="J360" i="3"/>
  <c r="H360" i="3"/>
  <c r="I360" i="3" s="1"/>
  <c r="J359" i="3"/>
  <c r="H359" i="3"/>
  <c r="J358" i="3"/>
  <c r="H358" i="3"/>
  <c r="I358" i="3" s="1"/>
  <c r="J357" i="3"/>
  <c r="H357" i="3"/>
  <c r="J356" i="3"/>
  <c r="H356" i="3"/>
  <c r="I356" i="3" s="1"/>
  <c r="J353" i="3"/>
  <c r="H353" i="3"/>
  <c r="J352" i="3"/>
  <c r="H352" i="3"/>
  <c r="J351" i="3"/>
  <c r="H351" i="3"/>
  <c r="J350" i="3"/>
  <c r="H350" i="3"/>
  <c r="I350" i="3" s="1"/>
  <c r="J349" i="3"/>
  <c r="H349" i="3"/>
  <c r="I349" i="3" s="1"/>
  <c r="J348" i="3"/>
  <c r="H348" i="3"/>
  <c r="J345" i="3"/>
  <c r="H345" i="3"/>
  <c r="I345" i="3" s="1"/>
  <c r="J344" i="3"/>
  <c r="H344" i="3"/>
  <c r="I344" i="3" s="1"/>
  <c r="J343" i="3"/>
  <c r="H343" i="3"/>
  <c r="I343" i="3" s="1"/>
  <c r="J342" i="3"/>
  <c r="H342" i="3"/>
  <c r="J341" i="3"/>
  <c r="H341" i="3"/>
  <c r="J340" i="3"/>
  <c r="H340" i="3"/>
  <c r="J337" i="3"/>
  <c r="H337" i="3"/>
  <c r="J336" i="3"/>
  <c r="H336" i="3"/>
  <c r="J335" i="3"/>
  <c r="H335" i="3"/>
  <c r="J334" i="3"/>
  <c r="H334" i="3"/>
  <c r="J333" i="3"/>
  <c r="H333" i="3"/>
  <c r="I333" i="3" s="1"/>
  <c r="J332" i="3"/>
  <c r="H332" i="3"/>
  <c r="J329" i="3"/>
  <c r="H329" i="3"/>
  <c r="I329" i="3" s="1"/>
  <c r="J328" i="3"/>
  <c r="H328" i="3"/>
  <c r="K328" i="3" s="1"/>
  <c r="J327" i="3"/>
  <c r="H327" i="3"/>
  <c r="J326" i="3"/>
  <c r="H326" i="3"/>
  <c r="J325" i="3"/>
  <c r="H325" i="3"/>
  <c r="I325" i="3" s="1"/>
  <c r="J324" i="3"/>
  <c r="H324" i="3"/>
  <c r="I324" i="3" s="1"/>
  <c r="J321" i="3"/>
  <c r="H321" i="3"/>
  <c r="I321" i="3" s="1"/>
  <c r="J320" i="3"/>
  <c r="H320" i="3"/>
  <c r="I320" i="3" s="1"/>
  <c r="J319" i="3"/>
  <c r="H319" i="3"/>
  <c r="J318" i="3"/>
  <c r="H318" i="3"/>
  <c r="I318" i="3" s="1"/>
  <c r="J317" i="3"/>
  <c r="H317" i="3"/>
  <c r="J316" i="3"/>
  <c r="H316" i="3"/>
  <c r="J313" i="3"/>
  <c r="H313" i="3"/>
  <c r="I313" i="3" s="1"/>
  <c r="J312" i="3"/>
  <c r="H312" i="3"/>
  <c r="I312" i="3" s="1"/>
  <c r="J311" i="3"/>
  <c r="H311" i="3"/>
  <c r="I311" i="3" s="1"/>
  <c r="J310" i="3"/>
  <c r="H310" i="3"/>
  <c r="J309" i="3"/>
  <c r="H309" i="3"/>
  <c r="I309" i="3" s="1"/>
  <c r="J308" i="3"/>
  <c r="H308" i="3"/>
  <c r="I308" i="3" s="1"/>
  <c r="J305" i="3"/>
  <c r="H305" i="3"/>
  <c r="J304" i="3"/>
  <c r="H304" i="3"/>
  <c r="K304" i="3" s="1"/>
  <c r="J303" i="3"/>
  <c r="H303" i="3"/>
  <c r="I303" i="3" s="1"/>
  <c r="J302" i="3"/>
  <c r="H302" i="3"/>
  <c r="J301" i="3"/>
  <c r="H301" i="3"/>
  <c r="I301" i="3" s="1"/>
  <c r="J300" i="3"/>
  <c r="H300" i="3"/>
  <c r="J297" i="3"/>
  <c r="H297" i="3"/>
  <c r="I297" i="3" s="1"/>
  <c r="J296" i="3"/>
  <c r="H296" i="3"/>
  <c r="I296" i="3" s="1"/>
  <c r="J295" i="3"/>
  <c r="H295" i="3"/>
  <c r="I295" i="3" s="1"/>
  <c r="J294" i="3"/>
  <c r="H294" i="3"/>
  <c r="J293" i="3"/>
  <c r="H293" i="3"/>
  <c r="J292" i="3"/>
  <c r="H292" i="3"/>
  <c r="J289" i="3"/>
  <c r="H289" i="3"/>
  <c r="J288" i="3"/>
  <c r="H288" i="3"/>
  <c r="J287" i="3"/>
  <c r="H287" i="3"/>
  <c r="I287" i="3" s="1"/>
  <c r="J286" i="3"/>
  <c r="H286" i="3"/>
  <c r="I286" i="3" s="1"/>
  <c r="J285" i="3"/>
  <c r="H285" i="3"/>
  <c r="J284" i="3"/>
  <c r="H284" i="3"/>
  <c r="I284" i="3" s="1"/>
  <c r="J281" i="3"/>
  <c r="H281" i="3"/>
  <c r="J280" i="3"/>
  <c r="H280" i="3"/>
  <c r="J279" i="3"/>
  <c r="H279" i="3"/>
  <c r="I279" i="3" s="1"/>
  <c r="J278" i="3"/>
  <c r="H278" i="3"/>
  <c r="J277" i="3"/>
  <c r="H277" i="3"/>
  <c r="J276" i="3"/>
  <c r="H276" i="3"/>
  <c r="J273" i="3"/>
  <c r="H273" i="3"/>
  <c r="I273" i="3" s="1"/>
  <c r="J272" i="3"/>
  <c r="H272" i="3"/>
  <c r="I272" i="3" s="1"/>
  <c r="J271" i="3"/>
  <c r="H271" i="3"/>
  <c r="I271" i="3" s="1"/>
  <c r="J270" i="3"/>
  <c r="H270" i="3"/>
  <c r="J269" i="3"/>
  <c r="H269" i="3"/>
  <c r="I269" i="3" s="1"/>
  <c r="J268" i="3"/>
  <c r="H268" i="3"/>
  <c r="J265" i="3"/>
  <c r="H265" i="3"/>
  <c r="I265" i="3" s="1"/>
  <c r="J264" i="3"/>
  <c r="H264" i="3"/>
  <c r="J263" i="3"/>
  <c r="H263" i="3"/>
  <c r="J262" i="3"/>
  <c r="H262" i="3"/>
  <c r="I262" i="3" s="1"/>
  <c r="J261" i="3"/>
  <c r="H261" i="3"/>
  <c r="I261" i="3" s="1"/>
  <c r="J260" i="3"/>
  <c r="H260" i="3"/>
  <c r="I260" i="3" s="1"/>
  <c r="J257" i="3"/>
  <c r="I257" i="3"/>
  <c r="H257" i="3"/>
  <c r="J256" i="3"/>
  <c r="H256" i="3"/>
  <c r="J255" i="3"/>
  <c r="H255" i="3"/>
  <c r="I255" i="3" s="1"/>
  <c r="J254" i="3"/>
  <c r="H254" i="3"/>
  <c r="J253" i="3"/>
  <c r="H253" i="3"/>
  <c r="I253" i="3" s="1"/>
  <c r="J252" i="3"/>
  <c r="H252" i="3"/>
  <c r="J249" i="3"/>
  <c r="H249" i="3"/>
  <c r="I249" i="3" s="1"/>
  <c r="J248" i="3"/>
  <c r="H248" i="3"/>
  <c r="I248" i="3" s="1"/>
  <c r="J247" i="3"/>
  <c r="H247" i="3"/>
  <c r="J246" i="3"/>
  <c r="H246" i="3"/>
  <c r="J245" i="3"/>
  <c r="H245" i="3"/>
  <c r="J244" i="3"/>
  <c r="H244" i="3"/>
  <c r="J241" i="3"/>
  <c r="K241" i="3" s="1"/>
  <c r="H241" i="3"/>
  <c r="I241" i="3" s="1"/>
  <c r="J240" i="3"/>
  <c r="H240" i="3"/>
  <c r="J239" i="3"/>
  <c r="H239" i="3"/>
  <c r="I239" i="3" s="1"/>
  <c r="J238" i="3"/>
  <c r="H238" i="3"/>
  <c r="I238" i="3" s="1"/>
  <c r="J237" i="3"/>
  <c r="H237" i="3"/>
  <c r="J236" i="3"/>
  <c r="H236" i="3"/>
  <c r="J233" i="3"/>
  <c r="H233" i="3"/>
  <c r="I233" i="3" s="1"/>
  <c r="J232" i="3"/>
  <c r="H232" i="3"/>
  <c r="J231" i="3"/>
  <c r="H231" i="3"/>
  <c r="J230" i="3"/>
  <c r="H230" i="3"/>
  <c r="J229" i="3"/>
  <c r="H229" i="3"/>
  <c r="J228" i="3"/>
  <c r="H228" i="3"/>
  <c r="J225" i="3"/>
  <c r="H225" i="3"/>
  <c r="I225" i="3" s="1"/>
  <c r="J224" i="3"/>
  <c r="H224" i="3"/>
  <c r="I224" i="3" s="1"/>
  <c r="J223" i="3"/>
  <c r="H223" i="3"/>
  <c r="I223" i="3" s="1"/>
  <c r="J222" i="3"/>
  <c r="H222" i="3"/>
  <c r="J221" i="3"/>
  <c r="H221" i="3"/>
  <c r="J220" i="3"/>
  <c r="H220" i="3"/>
  <c r="J217" i="3"/>
  <c r="H217" i="3"/>
  <c r="J216" i="3"/>
  <c r="H216" i="3"/>
  <c r="J215" i="3"/>
  <c r="H215" i="3"/>
  <c r="J214" i="3"/>
  <c r="H214" i="3"/>
  <c r="I214" i="3" s="1"/>
  <c r="J213" i="3"/>
  <c r="H213" i="3"/>
  <c r="I213" i="3" s="1"/>
  <c r="J212" i="3"/>
  <c r="H212" i="3"/>
  <c r="J209" i="3"/>
  <c r="H209" i="3"/>
  <c r="J208" i="3"/>
  <c r="H208" i="3"/>
  <c r="J207" i="3"/>
  <c r="H207" i="3"/>
  <c r="I207" i="3" s="1"/>
  <c r="J206" i="3"/>
  <c r="H206" i="3"/>
  <c r="J205" i="3"/>
  <c r="H205" i="3"/>
  <c r="J204" i="3"/>
  <c r="H204" i="3"/>
  <c r="J201" i="3"/>
  <c r="H201" i="3"/>
  <c r="J200" i="3"/>
  <c r="H200" i="3"/>
  <c r="I200" i="3" s="1"/>
  <c r="J199" i="3"/>
  <c r="H199" i="3"/>
  <c r="J198" i="3"/>
  <c r="H198" i="3"/>
  <c r="J197" i="3"/>
  <c r="H197" i="3"/>
  <c r="I197" i="3" s="1"/>
  <c r="J196" i="3"/>
  <c r="H196" i="3"/>
  <c r="J193" i="3"/>
  <c r="H193" i="3"/>
  <c r="I193" i="3" s="1"/>
  <c r="J192" i="3"/>
  <c r="H192" i="3"/>
  <c r="J191" i="3"/>
  <c r="H191" i="3"/>
  <c r="J190" i="3"/>
  <c r="H190" i="3"/>
  <c r="I190" i="3" s="1"/>
  <c r="J189" i="3"/>
  <c r="H189" i="3"/>
  <c r="I189" i="3" s="1"/>
  <c r="J188" i="3"/>
  <c r="H188" i="3"/>
  <c r="J185" i="3"/>
  <c r="H185" i="3"/>
  <c r="I185" i="3" s="1"/>
  <c r="J184" i="3"/>
  <c r="H184" i="3"/>
  <c r="J183" i="3"/>
  <c r="H183" i="3"/>
  <c r="J182" i="3"/>
  <c r="H182" i="3"/>
  <c r="J181" i="3"/>
  <c r="H181" i="3"/>
  <c r="I181" i="3" s="1"/>
  <c r="J180" i="3"/>
  <c r="H180" i="3"/>
  <c r="J177" i="3"/>
  <c r="H177" i="3"/>
  <c r="I177" i="3" s="1"/>
  <c r="J176" i="3"/>
  <c r="H176" i="3"/>
  <c r="J175" i="3"/>
  <c r="H175" i="3"/>
  <c r="J174" i="3"/>
  <c r="H174" i="3"/>
  <c r="J173" i="3"/>
  <c r="H173" i="3"/>
  <c r="I173" i="3" s="1"/>
  <c r="J172" i="3"/>
  <c r="H172" i="3"/>
  <c r="I172" i="3" s="1"/>
  <c r="J169" i="3"/>
  <c r="H169" i="3"/>
  <c r="I169" i="3" s="1"/>
  <c r="J168" i="3"/>
  <c r="H168" i="3"/>
  <c r="J167" i="3"/>
  <c r="J166" i="3"/>
  <c r="J165" i="3"/>
  <c r="J164" i="3"/>
  <c r="J161" i="3"/>
  <c r="J160" i="3"/>
  <c r="J159" i="3"/>
  <c r="J158" i="3"/>
  <c r="J157" i="3"/>
  <c r="J156" i="3"/>
  <c r="J153" i="3"/>
  <c r="K153" i="3" s="1"/>
  <c r="I153" i="3"/>
  <c r="J152" i="3"/>
  <c r="I152" i="3"/>
  <c r="J151" i="3"/>
  <c r="I151" i="3"/>
  <c r="J150" i="3"/>
  <c r="J149" i="3"/>
  <c r="J148" i="3"/>
  <c r="J145" i="3"/>
  <c r="J144" i="3"/>
  <c r="J143" i="3"/>
  <c r="J142" i="3"/>
  <c r="J141" i="3"/>
  <c r="I141" i="3"/>
  <c r="J140" i="3"/>
  <c r="I140" i="3"/>
  <c r="J137" i="3"/>
  <c r="J136" i="3"/>
  <c r="I136" i="3"/>
  <c r="J135" i="3"/>
  <c r="I135" i="3"/>
  <c r="J134" i="3"/>
  <c r="J133" i="3"/>
  <c r="J132" i="3"/>
  <c r="J129" i="3"/>
  <c r="J128" i="3"/>
  <c r="I128" i="3"/>
  <c r="J127" i="3"/>
  <c r="J126" i="3"/>
  <c r="J125" i="3"/>
  <c r="I125" i="3"/>
  <c r="J124" i="3"/>
  <c r="I124" i="3"/>
  <c r="J121" i="3"/>
  <c r="I121" i="3"/>
  <c r="J120" i="3"/>
  <c r="I120" i="3"/>
  <c r="J119" i="3"/>
  <c r="I119" i="3"/>
  <c r="J118" i="3"/>
  <c r="J117" i="3"/>
  <c r="J116" i="3"/>
  <c r="J113" i="3"/>
  <c r="J112" i="3"/>
  <c r="J111" i="3"/>
  <c r="J110" i="3"/>
  <c r="I110" i="3"/>
  <c r="J109" i="3"/>
  <c r="I109" i="3"/>
  <c r="J108" i="3"/>
  <c r="J105" i="3"/>
  <c r="J104" i="3"/>
  <c r="K104" i="3" s="1"/>
  <c r="J103" i="3"/>
  <c r="I103" i="3"/>
  <c r="J102" i="3"/>
  <c r="J101" i="3"/>
  <c r="J100" i="3"/>
  <c r="J97" i="3"/>
  <c r="J96" i="3"/>
  <c r="I96" i="3"/>
  <c r="J95" i="3"/>
  <c r="J94" i="3"/>
  <c r="J93" i="3"/>
  <c r="J92" i="3"/>
  <c r="I92" i="3"/>
  <c r="J89" i="3"/>
  <c r="I89" i="3"/>
  <c r="J88" i="3"/>
  <c r="K88" i="3" s="1"/>
  <c r="J87" i="3"/>
  <c r="J86" i="3"/>
  <c r="I86" i="3"/>
  <c r="J85" i="3"/>
  <c r="J84" i="3"/>
  <c r="J81" i="3"/>
  <c r="J80" i="3"/>
  <c r="I80" i="3"/>
  <c r="J79" i="3"/>
  <c r="J78" i="3"/>
  <c r="J77" i="3"/>
  <c r="I77" i="3"/>
  <c r="J76" i="3"/>
  <c r="J73" i="3"/>
  <c r="K73" i="3" s="1"/>
  <c r="J72" i="3"/>
  <c r="I72" i="3"/>
  <c r="J71" i="3"/>
  <c r="I71" i="3"/>
  <c r="J70" i="3"/>
  <c r="J69" i="3"/>
  <c r="J68" i="3"/>
  <c r="J65" i="3"/>
  <c r="J64" i="3"/>
  <c r="I64" i="3"/>
  <c r="J63" i="3"/>
  <c r="I63" i="3"/>
  <c r="J62" i="3"/>
  <c r="J61" i="3"/>
  <c r="I61" i="3"/>
  <c r="J60" i="3"/>
  <c r="I60" i="3"/>
  <c r="J57" i="3"/>
  <c r="J56" i="3"/>
  <c r="J55" i="3"/>
  <c r="I55" i="3"/>
  <c r="J54" i="3"/>
  <c r="J53" i="3"/>
  <c r="I53" i="3"/>
  <c r="J52" i="3"/>
  <c r="J49" i="3"/>
  <c r="J48" i="3"/>
  <c r="I48" i="3"/>
  <c r="J47" i="3"/>
  <c r="J46" i="3"/>
  <c r="J45" i="3"/>
  <c r="J44" i="3"/>
  <c r="J41" i="3"/>
  <c r="I41" i="3"/>
  <c r="J40" i="3"/>
  <c r="J39" i="3"/>
  <c r="I39" i="3"/>
  <c r="J38" i="3"/>
  <c r="J37" i="3"/>
  <c r="J36" i="3"/>
  <c r="J33" i="3"/>
  <c r="J32" i="3"/>
  <c r="J31" i="3"/>
  <c r="J30" i="3"/>
  <c r="J29" i="3"/>
  <c r="I29" i="3"/>
  <c r="J28" i="3"/>
  <c r="J25" i="3"/>
  <c r="I25" i="3"/>
  <c r="J24" i="3"/>
  <c r="I24" i="3"/>
  <c r="J23" i="3"/>
  <c r="I23" i="3"/>
  <c r="J22" i="3"/>
  <c r="J21" i="3"/>
  <c r="J20" i="3"/>
  <c r="J17" i="3"/>
  <c r="J16" i="3"/>
  <c r="I16" i="3"/>
  <c r="J15" i="3"/>
  <c r="J14" i="3"/>
  <c r="J13" i="3"/>
  <c r="I13" i="3"/>
  <c r="J12" i="3"/>
  <c r="I12" i="3"/>
  <c r="J9" i="3"/>
  <c r="J8" i="3"/>
  <c r="I8" i="3"/>
  <c r="J7" i="3"/>
  <c r="I7" i="3"/>
  <c r="J6" i="3"/>
  <c r="J5" i="3"/>
  <c r="J4" i="3"/>
  <c r="M81" i="1"/>
  <c r="L81" i="1"/>
  <c r="K81" i="1"/>
  <c r="J81" i="1"/>
  <c r="I81" i="1"/>
  <c r="H81" i="1"/>
  <c r="M80" i="1"/>
  <c r="L80" i="1"/>
  <c r="K80" i="1"/>
  <c r="J80" i="1"/>
  <c r="I80" i="1"/>
  <c r="H80" i="1"/>
  <c r="M79" i="1"/>
  <c r="L79" i="1"/>
  <c r="K79" i="1"/>
  <c r="J79" i="1"/>
  <c r="I79" i="1"/>
  <c r="H79" i="1"/>
  <c r="M78" i="1"/>
  <c r="L78" i="1"/>
  <c r="K78" i="1"/>
  <c r="J78" i="1"/>
  <c r="I78" i="1"/>
  <c r="H78" i="1"/>
  <c r="M77" i="1"/>
  <c r="L77" i="1"/>
  <c r="K77" i="1"/>
  <c r="J77" i="1"/>
  <c r="I77" i="1"/>
  <c r="H77" i="1"/>
  <c r="M76" i="1"/>
  <c r="L76" i="1"/>
  <c r="K76" i="1"/>
  <c r="J76" i="1"/>
  <c r="I76" i="1"/>
  <c r="H76" i="1"/>
  <c r="M75" i="1"/>
  <c r="L75" i="1"/>
  <c r="K75" i="1"/>
  <c r="J75" i="1"/>
  <c r="I75" i="1"/>
  <c r="H75" i="1"/>
  <c r="M74" i="1"/>
  <c r="L74" i="1"/>
  <c r="K74" i="1"/>
  <c r="J74" i="1"/>
  <c r="I74" i="1"/>
  <c r="H74" i="1"/>
  <c r="M73" i="1"/>
  <c r="L73" i="1"/>
  <c r="K73" i="1"/>
  <c r="J73" i="1"/>
  <c r="I73" i="1"/>
  <c r="H73" i="1"/>
  <c r="M72" i="1"/>
  <c r="L72" i="1"/>
  <c r="K72" i="1"/>
  <c r="J72" i="1"/>
  <c r="I72" i="1"/>
  <c r="H72" i="1"/>
  <c r="M71" i="1"/>
  <c r="L71" i="1"/>
  <c r="K71" i="1"/>
  <c r="J71" i="1"/>
  <c r="I71" i="1"/>
  <c r="H71" i="1"/>
  <c r="M70" i="1"/>
  <c r="L70" i="1"/>
  <c r="K70" i="1"/>
  <c r="J70" i="1"/>
  <c r="I70" i="1"/>
  <c r="H70" i="1"/>
  <c r="M69" i="1"/>
  <c r="L69" i="1"/>
  <c r="K69" i="1"/>
  <c r="J69" i="1"/>
  <c r="I69" i="1"/>
  <c r="H69" i="1"/>
  <c r="M68" i="1"/>
  <c r="L68" i="1"/>
  <c r="K68" i="1"/>
  <c r="J68" i="1"/>
  <c r="I68" i="1"/>
  <c r="H68" i="1"/>
  <c r="M67" i="1"/>
  <c r="L67" i="1"/>
  <c r="K67" i="1"/>
  <c r="J67" i="1"/>
  <c r="I67" i="1"/>
  <c r="H67" i="1"/>
  <c r="M66" i="1"/>
  <c r="L66" i="1"/>
  <c r="K66" i="1"/>
  <c r="J66" i="1"/>
  <c r="I66" i="1"/>
  <c r="H66" i="1"/>
  <c r="M65" i="1"/>
  <c r="L65" i="1"/>
  <c r="K65" i="1"/>
  <c r="J65" i="1"/>
  <c r="I65" i="1"/>
  <c r="H65" i="1"/>
  <c r="M64" i="1"/>
  <c r="L64" i="1"/>
  <c r="K64" i="1"/>
  <c r="J64" i="1"/>
  <c r="I64" i="1"/>
  <c r="H64" i="1"/>
  <c r="M63" i="1"/>
  <c r="L63" i="1"/>
  <c r="K63" i="1"/>
  <c r="J63" i="1"/>
  <c r="I63" i="1"/>
  <c r="H63" i="1"/>
  <c r="M62" i="1"/>
  <c r="L62" i="1"/>
  <c r="K62" i="1"/>
  <c r="J62" i="1"/>
  <c r="I62" i="1"/>
  <c r="H62" i="1"/>
  <c r="M61" i="1"/>
  <c r="L61" i="1"/>
  <c r="K61" i="1"/>
  <c r="J61" i="1"/>
  <c r="I61" i="1"/>
  <c r="H61" i="1"/>
  <c r="M60" i="1"/>
  <c r="L60" i="1"/>
  <c r="K60" i="1"/>
  <c r="J60" i="1"/>
  <c r="I60" i="1"/>
  <c r="H60" i="1"/>
  <c r="M59" i="1"/>
  <c r="L59" i="1"/>
  <c r="K59" i="1"/>
  <c r="J59" i="1"/>
  <c r="I59" i="1"/>
  <c r="H59" i="1"/>
  <c r="M58" i="1"/>
  <c r="L58" i="1"/>
  <c r="K58" i="1"/>
  <c r="J58" i="1"/>
  <c r="I58" i="1"/>
  <c r="H58" i="1"/>
  <c r="M57" i="1"/>
  <c r="L57" i="1"/>
  <c r="K57" i="1"/>
  <c r="J57" i="1"/>
  <c r="I57" i="1"/>
  <c r="H57" i="1"/>
  <c r="M56" i="1"/>
  <c r="L56" i="1"/>
  <c r="K56" i="1"/>
  <c r="J56" i="1"/>
  <c r="I56" i="1"/>
  <c r="H56" i="1"/>
  <c r="M55" i="1"/>
  <c r="L55" i="1"/>
  <c r="K55" i="1"/>
  <c r="J55" i="1"/>
  <c r="I55" i="1"/>
  <c r="H55" i="1"/>
  <c r="M54" i="1"/>
  <c r="L54" i="1"/>
  <c r="K54" i="1"/>
  <c r="J54" i="1"/>
  <c r="I54" i="1"/>
  <c r="H54" i="1"/>
  <c r="M53" i="1"/>
  <c r="L53" i="1"/>
  <c r="K53" i="1"/>
  <c r="J53" i="1"/>
  <c r="I53" i="1"/>
  <c r="H53" i="1"/>
  <c r="M52" i="1"/>
  <c r="L52" i="1"/>
  <c r="K52" i="1"/>
  <c r="J52" i="1"/>
  <c r="I52" i="1"/>
  <c r="H52" i="1"/>
  <c r="M51" i="1"/>
  <c r="L51" i="1"/>
  <c r="K51" i="1"/>
  <c r="J51" i="1"/>
  <c r="I51" i="1"/>
  <c r="H51" i="1"/>
  <c r="M50" i="1"/>
  <c r="L50" i="1"/>
  <c r="K50" i="1"/>
  <c r="J50" i="1"/>
  <c r="I50" i="1"/>
  <c r="H50" i="1"/>
  <c r="M49" i="1"/>
  <c r="L49" i="1"/>
  <c r="K49" i="1"/>
  <c r="J49" i="1"/>
  <c r="I49" i="1"/>
  <c r="H49" i="1"/>
  <c r="M48" i="1"/>
  <c r="L48" i="1"/>
  <c r="K48" i="1"/>
  <c r="J48" i="1"/>
  <c r="I48" i="1"/>
  <c r="H48" i="1"/>
  <c r="M47" i="1"/>
  <c r="L47" i="1"/>
  <c r="K47" i="1"/>
  <c r="J47" i="1"/>
  <c r="I47" i="1"/>
  <c r="H47" i="1"/>
  <c r="M46" i="1"/>
  <c r="L46" i="1"/>
  <c r="K46" i="1"/>
  <c r="J46" i="1"/>
  <c r="I46" i="1"/>
  <c r="H46" i="1"/>
  <c r="M45" i="1"/>
  <c r="L45" i="1"/>
  <c r="K45" i="1"/>
  <c r="J45" i="1"/>
  <c r="I45" i="1"/>
  <c r="H45" i="1"/>
  <c r="M44" i="1"/>
  <c r="L44" i="1"/>
  <c r="K44" i="1"/>
  <c r="J44" i="1"/>
  <c r="I44" i="1"/>
  <c r="H44" i="1"/>
  <c r="M43" i="1"/>
  <c r="L43" i="1"/>
  <c r="K43" i="1"/>
  <c r="J43" i="1"/>
  <c r="I43" i="1"/>
  <c r="H43" i="1"/>
  <c r="M42" i="1"/>
  <c r="L42" i="1"/>
  <c r="K42" i="1"/>
  <c r="J42" i="1"/>
  <c r="I42" i="1"/>
  <c r="H42" i="1"/>
  <c r="M41" i="1"/>
  <c r="L41" i="1"/>
  <c r="K41" i="1"/>
  <c r="J41" i="1"/>
  <c r="I41" i="1"/>
  <c r="H41" i="1"/>
  <c r="M40" i="1"/>
  <c r="L40" i="1"/>
  <c r="K40" i="1"/>
  <c r="J40" i="1"/>
  <c r="I40" i="1"/>
  <c r="H40" i="1"/>
  <c r="M39" i="1"/>
  <c r="L39" i="1"/>
  <c r="K39" i="1"/>
  <c r="J39" i="1"/>
  <c r="I39" i="1"/>
  <c r="H39" i="1"/>
  <c r="M38" i="1"/>
  <c r="L38" i="1"/>
  <c r="K38" i="1"/>
  <c r="J38" i="1"/>
  <c r="I38" i="1"/>
  <c r="H38" i="1"/>
  <c r="M37" i="1"/>
  <c r="L37" i="1"/>
  <c r="K37" i="1"/>
  <c r="J37" i="1"/>
  <c r="I37" i="1"/>
  <c r="H37" i="1"/>
  <c r="M36" i="1"/>
  <c r="L36" i="1"/>
  <c r="K36" i="1"/>
  <c r="J36" i="1"/>
  <c r="I36" i="1"/>
  <c r="H36" i="1"/>
  <c r="M35" i="1"/>
  <c r="L35" i="1"/>
  <c r="K35" i="1"/>
  <c r="J35" i="1"/>
  <c r="I35" i="1"/>
  <c r="H35" i="1"/>
  <c r="M34" i="1"/>
  <c r="L34" i="1"/>
  <c r="K34" i="1"/>
  <c r="J34" i="1"/>
  <c r="I34" i="1"/>
  <c r="H34" i="1"/>
  <c r="M33" i="1"/>
  <c r="L33" i="1"/>
  <c r="K33" i="1"/>
  <c r="J33" i="1"/>
  <c r="I33" i="1"/>
  <c r="H33" i="1"/>
  <c r="M32" i="1"/>
  <c r="L32" i="1"/>
  <c r="K32" i="1"/>
  <c r="J32" i="1"/>
  <c r="I32" i="1"/>
  <c r="H32" i="1"/>
  <c r="M31" i="1"/>
  <c r="L31" i="1"/>
  <c r="K31" i="1"/>
  <c r="J31" i="1"/>
  <c r="I31" i="1"/>
  <c r="H31" i="1"/>
  <c r="M30" i="1"/>
  <c r="L30" i="1"/>
  <c r="K30" i="1"/>
  <c r="J30" i="1"/>
  <c r="I30" i="1"/>
  <c r="H30" i="1"/>
  <c r="M29" i="1"/>
  <c r="L29" i="1"/>
  <c r="K29" i="1"/>
  <c r="J29" i="1"/>
  <c r="I29" i="1"/>
  <c r="H29" i="1"/>
  <c r="M28" i="1"/>
  <c r="L28" i="1"/>
  <c r="K28" i="1"/>
  <c r="J28" i="1"/>
  <c r="I28" i="1"/>
  <c r="H28" i="1"/>
  <c r="M27" i="1"/>
  <c r="L27" i="1"/>
  <c r="K27" i="1"/>
  <c r="J27" i="1"/>
  <c r="I27" i="1"/>
  <c r="H27" i="1"/>
  <c r="M26" i="1"/>
  <c r="L26" i="1"/>
  <c r="K26" i="1"/>
  <c r="J26" i="1"/>
  <c r="I26" i="1"/>
  <c r="H26" i="1"/>
  <c r="M25" i="1"/>
  <c r="L25" i="1"/>
  <c r="K25" i="1"/>
  <c r="J25" i="1"/>
  <c r="I25" i="1"/>
  <c r="H25" i="1"/>
  <c r="M24" i="1"/>
  <c r="L24" i="1"/>
  <c r="K24" i="1"/>
  <c r="J24" i="1"/>
  <c r="I24" i="1"/>
  <c r="H24" i="1"/>
  <c r="M23" i="1"/>
  <c r="L23" i="1"/>
  <c r="K23" i="1"/>
  <c r="J23" i="1"/>
  <c r="I23" i="1"/>
  <c r="H23" i="1"/>
  <c r="M22" i="1"/>
  <c r="L22" i="1"/>
  <c r="K22" i="1"/>
  <c r="J22" i="1"/>
  <c r="I22" i="1"/>
  <c r="H22" i="1"/>
  <c r="M21" i="1"/>
  <c r="L21" i="1"/>
  <c r="K21" i="1"/>
  <c r="J21" i="1"/>
  <c r="I21" i="1"/>
  <c r="H21" i="1"/>
  <c r="M20" i="1"/>
  <c r="L20" i="1"/>
  <c r="K20" i="1"/>
  <c r="J20" i="1"/>
  <c r="I20" i="1"/>
  <c r="H20" i="1"/>
  <c r="M19" i="1"/>
  <c r="L19" i="1"/>
  <c r="K19" i="1"/>
  <c r="J19" i="1"/>
  <c r="I19" i="1"/>
  <c r="H19" i="1"/>
  <c r="M18" i="1"/>
  <c r="L18" i="1"/>
  <c r="K18" i="1"/>
  <c r="J18" i="1"/>
  <c r="I18" i="1"/>
  <c r="H18" i="1"/>
  <c r="M17" i="1"/>
  <c r="L17" i="1"/>
  <c r="K17" i="1"/>
  <c r="J17" i="1"/>
  <c r="I17" i="1"/>
  <c r="H17" i="1"/>
  <c r="M16" i="1"/>
  <c r="L16" i="1"/>
  <c r="K16" i="1"/>
  <c r="J16" i="1"/>
  <c r="I16" i="1"/>
  <c r="H16" i="1"/>
  <c r="M15" i="1"/>
  <c r="L15" i="1"/>
  <c r="K15" i="1"/>
  <c r="J15" i="1"/>
  <c r="I15" i="1"/>
  <c r="H15" i="1"/>
  <c r="M14" i="1"/>
  <c r="L14" i="1"/>
  <c r="K14" i="1"/>
  <c r="J14" i="1"/>
  <c r="I14" i="1"/>
  <c r="H14" i="1"/>
  <c r="M13" i="1"/>
  <c r="L13" i="1"/>
  <c r="K13" i="1"/>
  <c r="J13" i="1"/>
  <c r="I13" i="1"/>
  <c r="H13" i="1"/>
  <c r="M12" i="1"/>
  <c r="L12" i="1"/>
  <c r="K12" i="1"/>
  <c r="J12" i="1"/>
  <c r="I12" i="1"/>
  <c r="H12" i="1"/>
  <c r="M11" i="1"/>
  <c r="L11" i="1"/>
  <c r="K11" i="1"/>
  <c r="J11" i="1"/>
  <c r="I11" i="1"/>
  <c r="H11" i="1"/>
  <c r="M10" i="1"/>
  <c r="L10" i="1"/>
  <c r="K10" i="1"/>
  <c r="J10" i="1"/>
  <c r="I10" i="1"/>
  <c r="H10" i="1"/>
  <c r="M9" i="1"/>
  <c r="L9" i="1"/>
  <c r="K9" i="1"/>
  <c r="J9" i="1"/>
  <c r="I9" i="1"/>
  <c r="H9" i="1"/>
  <c r="M8" i="1"/>
  <c r="L8" i="1"/>
  <c r="K8" i="1"/>
  <c r="J8" i="1"/>
  <c r="I8" i="1"/>
  <c r="H8" i="1"/>
  <c r="M7" i="1"/>
  <c r="L7" i="1"/>
  <c r="K7" i="1"/>
  <c r="J7" i="1"/>
  <c r="I7" i="1"/>
  <c r="H7" i="1"/>
  <c r="M6" i="1"/>
  <c r="L6" i="1"/>
  <c r="K6" i="1"/>
  <c r="J6" i="1"/>
  <c r="I6" i="1"/>
  <c r="H6" i="1"/>
  <c r="M5" i="1"/>
  <c r="L5" i="1"/>
  <c r="K5" i="1"/>
  <c r="J5" i="1"/>
  <c r="I5" i="1"/>
  <c r="H5" i="1"/>
  <c r="M4" i="1"/>
  <c r="L4" i="1"/>
  <c r="K4" i="1"/>
  <c r="J4" i="1"/>
  <c r="I4" i="1"/>
  <c r="H4" i="1"/>
  <c r="M3" i="1"/>
  <c r="L3" i="1"/>
  <c r="K3" i="1"/>
  <c r="J3" i="1"/>
  <c r="I3" i="1"/>
  <c r="H3" i="1"/>
  <c r="M2" i="1"/>
  <c r="L2" i="1"/>
  <c r="K2" i="1"/>
  <c r="J2" i="1"/>
  <c r="I2" i="1"/>
  <c r="H2" i="1"/>
  <c r="K578" i="3" l="1"/>
  <c r="K594" i="3"/>
  <c r="K66" i="3"/>
  <c r="K107" i="3"/>
  <c r="K78" i="3"/>
  <c r="K498" i="3"/>
  <c r="K145" i="3"/>
  <c r="K195" i="3"/>
  <c r="I594" i="3"/>
  <c r="K616" i="3"/>
  <c r="K539" i="3"/>
  <c r="K10" i="3"/>
  <c r="K426" i="3"/>
  <c r="K378" i="3"/>
  <c r="K330" i="3"/>
  <c r="K258" i="3"/>
  <c r="K490" i="3"/>
  <c r="K467" i="3"/>
  <c r="K347" i="3"/>
  <c r="K275" i="3"/>
  <c r="K251" i="3"/>
  <c r="K298" i="3"/>
  <c r="K647" i="3"/>
  <c r="K435" i="3"/>
  <c r="K371" i="3"/>
  <c r="K147" i="3"/>
  <c r="K130" i="3"/>
  <c r="K42" i="3"/>
  <c r="K35" i="3"/>
  <c r="K570" i="3"/>
  <c r="K522" i="3"/>
  <c r="K4" i="3"/>
  <c r="K274" i="3"/>
  <c r="K545" i="3"/>
  <c r="K627" i="3"/>
  <c r="K563" i="3"/>
  <c r="K386" i="3"/>
  <c r="K51" i="3"/>
  <c r="K227" i="3"/>
  <c r="K132" i="3"/>
  <c r="K402" i="3"/>
  <c r="K243" i="3"/>
  <c r="K466" i="3"/>
  <c r="K306" i="3"/>
  <c r="K138" i="3"/>
  <c r="K642" i="3"/>
  <c r="K610" i="3"/>
  <c r="K474" i="3"/>
  <c r="K450" i="3"/>
  <c r="K418" i="3"/>
  <c r="K202" i="3"/>
  <c r="K186" i="3"/>
  <c r="K34" i="3"/>
  <c r="K11" i="3"/>
  <c r="K175" i="3"/>
  <c r="K626" i="3"/>
  <c r="K587" i="3"/>
  <c r="K538" i="3"/>
  <c r="I522" i="3"/>
  <c r="K483" i="3"/>
  <c r="K434" i="3"/>
  <c r="K395" i="3"/>
  <c r="K346" i="3"/>
  <c r="I330" i="3"/>
  <c r="K291" i="3"/>
  <c r="K179" i="3"/>
  <c r="K162" i="3"/>
  <c r="K106" i="3"/>
  <c r="K90" i="3"/>
  <c r="K83" i="3"/>
  <c r="K635" i="3"/>
  <c r="K586" i="3"/>
  <c r="K531" i="3"/>
  <c r="K515" i="3"/>
  <c r="K482" i="3"/>
  <c r="K443" i="3"/>
  <c r="K394" i="3"/>
  <c r="K339" i="3"/>
  <c r="K323" i="3"/>
  <c r="K178" i="3"/>
  <c r="K155" i="3"/>
  <c r="K99" i="3"/>
  <c r="I570" i="3"/>
  <c r="I378" i="3"/>
  <c r="K250" i="3"/>
  <c r="K234" i="3"/>
  <c r="K82" i="3"/>
  <c r="K59" i="3"/>
  <c r="K546" i="3"/>
  <c r="K514" i="3"/>
  <c r="K354" i="3"/>
  <c r="K322" i="3"/>
  <c r="K210" i="3"/>
  <c r="K3" i="3"/>
  <c r="K634" i="3"/>
  <c r="I618" i="3"/>
  <c r="K579" i="3"/>
  <c r="K530" i="3"/>
  <c r="K491" i="3"/>
  <c r="K442" i="3"/>
  <c r="I426" i="3"/>
  <c r="K387" i="3"/>
  <c r="K299" i="3"/>
  <c r="K154" i="3"/>
  <c r="K114" i="3"/>
  <c r="I42" i="3"/>
  <c r="K131" i="3"/>
  <c r="K562" i="3"/>
  <c r="K370" i="3"/>
  <c r="K226" i="3"/>
  <c r="K203" i="3"/>
  <c r="K18" i="3"/>
  <c r="K611" i="3"/>
  <c r="K419" i="3"/>
  <c r="K282" i="3"/>
  <c r="K429" i="3"/>
  <c r="L429" i="3" s="1"/>
  <c r="I647" i="3"/>
  <c r="K619" i="3"/>
  <c r="I611" i="3"/>
  <c r="K571" i="3"/>
  <c r="I563" i="3"/>
  <c r="K523" i="3"/>
  <c r="I515" i="3"/>
  <c r="K475" i="3"/>
  <c r="I467" i="3"/>
  <c r="K427" i="3"/>
  <c r="I419" i="3"/>
  <c r="K379" i="3"/>
  <c r="I371" i="3"/>
  <c r="K331" i="3"/>
  <c r="I323" i="3"/>
  <c r="K283" i="3"/>
  <c r="K235" i="3"/>
  <c r="K187" i="3"/>
  <c r="K139" i="3"/>
  <c r="K91" i="3"/>
  <c r="K43" i="3"/>
  <c r="K644" i="3"/>
  <c r="K602" i="3"/>
  <c r="K554" i="3"/>
  <c r="K506" i="3"/>
  <c r="K458" i="3"/>
  <c r="K410" i="3"/>
  <c r="K362" i="3"/>
  <c r="K314" i="3"/>
  <c r="K266" i="3"/>
  <c r="K218" i="3"/>
  <c r="K170" i="3"/>
  <c r="K122" i="3"/>
  <c r="K74" i="3"/>
  <c r="K26" i="3"/>
  <c r="K643" i="3"/>
  <c r="K595" i="3"/>
  <c r="K547" i="3"/>
  <c r="K499" i="3"/>
  <c r="K451" i="3"/>
  <c r="K403" i="3"/>
  <c r="K355" i="3"/>
  <c r="K307" i="3"/>
  <c r="K259" i="3"/>
  <c r="K211" i="3"/>
  <c r="K163" i="3"/>
  <c r="K115" i="3"/>
  <c r="K67" i="3"/>
  <c r="K19" i="3"/>
  <c r="K338" i="3"/>
  <c r="K290" i="3"/>
  <c r="K242" i="3"/>
  <c r="K194" i="3"/>
  <c r="K146" i="3"/>
  <c r="K98" i="3"/>
  <c r="K50" i="3"/>
  <c r="K2" i="3"/>
  <c r="K645" i="3"/>
  <c r="K603" i="3"/>
  <c r="K555" i="3"/>
  <c r="K507" i="3"/>
  <c r="K459" i="3"/>
  <c r="K411" i="3"/>
  <c r="K363" i="3"/>
  <c r="K315" i="3"/>
  <c r="K267" i="3"/>
  <c r="K219" i="3"/>
  <c r="K171" i="3"/>
  <c r="K123" i="3"/>
  <c r="K75" i="3"/>
  <c r="K27" i="3"/>
  <c r="K79" i="3"/>
  <c r="L79" i="3" s="1"/>
  <c r="K581" i="3"/>
  <c r="L581" i="3" s="1"/>
  <c r="K542" i="3"/>
  <c r="L542" i="3" s="1"/>
  <c r="K521" i="3"/>
  <c r="K245" i="3"/>
  <c r="K324" i="3"/>
  <c r="L324" i="3" s="1"/>
  <c r="K176" i="3"/>
  <c r="K191" i="3"/>
  <c r="K199" i="3"/>
  <c r="K214" i="3"/>
  <c r="K361" i="3"/>
  <c r="L361" i="3" s="1"/>
  <c r="K559" i="3"/>
  <c r="L559" i="3" s="1"/>
  <c r="K223" i="3"/>
  <c r="L223" i="3" s="1"/>
  <c r="K169" i="3"/>
  <c r="L169" i="3" s="1"/>
  <c r="K295" i="3"/>
  <c r="L295" i="3" s="1"/>
  <c r="K197" i="3"/>
  <c r="L197" i="3" s="1"/>
  <c r="K213" i="3"/>
  <c r="L213" i="3" s="1"/>
  <c r="K273" i="3"/>
  <c r="L273" i="3" s="1"/>
  <c r="K376" i="3"/>
  <c r="K423" i="3"/>
  <c r="K574" i="3"/>
  <c r="K582" i="3"/>
  <c r="K69" i="3"/>
  <c r="K124" i="3"/>
  <c r="L124" i="3" s="1"/>
  <c r="K600" i="3"/>
  <c r="K471" i="3"/>
  <c r="K561" i="3"/>
  <c r="L561" i="3" s="1"/>
  <c r="K60" i="3"/>
  <c r="L60" i="3" s="1"/>
  <c r="K39" i="3"/>
  <c r="L39" i="3" s="1"/>
  <c r="K565" i="3"/>
  <c r="K601" i="3"/>
  <c r="L601" i="3" s="1"/>
  <c r="K32" i="3"/>
  <c r="K444" i="3"/>
  <c r="K481" i="3"/>
  <c r="K265" i="3"/>
  <c r="L265" i="3" s="1"/>
  <c r="K398" i="3"/>
  <c r="K566" i="3"/>
  <c r="L566" i="3" s="1"/>
  <c r="K613" i="3"/>
  <c r="L613" i="3" s="1"/>
  <c r="K636" i="3"/>
  <c r="K89" i="3"/>
  <c r="L89" i="3" s="1"/>
  <c r="K305" i="3"/>
  <c r="K637" i="3"/>
  <c r="L637" i="3" s="1"/>
  <c r="K25" i="3"/>
  <c r="L25" i="3" s="1"/>
  <c r="K47" i="3"/>
  <c r="L47" i="3" s="1"/>
  <c r="K215" i="3"/>
  <c r="K231" i="3"/>
  <c r="K277" i="3"/>
  <c r="K284" i="3"/>
  <c r="L284" i="3" s="1"/>
  <c r="K297" i="3"/>
  <c r="L297" i="3" s="1"/>
  <c r="K453" i="3"/>
  <c r="L453" i="3" s="1"/>
  <c r="K519" i="3"/>
  <c r="L519" i="3" s="1"/>
  <c r="K535" i="3"/>
  <c r="K17" i="3"/>
  <c r="L17" i="3" s="1"/>
  <c r="K56" i="3"/>
  <c r="K247" i="3"/>
  <c r="K285" i="3"/>
  <c r="K316" i="3"/>
  <c r="K340" i="3"/>
  <c r="K385" i="3"/>
  <c r="K400" i="3"/>
  <c r="K408" i="3"/>
  <c r="K469" i="3"/>
  <c r="L469" i="3" s="1"/>
  <c r="K489" i="3"/>
  <c r="L489" i="3" s="1"/>
  <c r="K497" i="3"/>
  <c r="K569" i="3"/>
  <c r="L569" i="3" s="1"/>
  <c r="K577" i="3"/>
  <c r="K293" i="3"/>
  <c r="K447" i="3"/>
  <c r="K119" i="3"/>
  <c r="L119" i="3" s="1"/>
  <c r="I565" i="3"/>
  <c r="K21" i="3"/>
  <c r="K44" i="3"/>
  <c r="K157" i="3"/>
  <c r="K185" i="3"/>
  <c r="L185" i="3" s="1"/>
  <c r="K325" i="3"/>
  <c r="L325" i="3" s="1"/>
  <c r="K401" i="3"/>
  <c r="K409" i="3"/>
  <c r="L409" i="3" s="1"/>
  <c r="K463" i="3"/>
  <c r="K477" i="3"/>
  <c r="L477" i="3" s="1"/>
  <c r="K529" i="3"/>
  <c r="L529" i="3" s="1"/>
  <c r="K37" i="3"/>
  <c r="K188" i="3"/>
  <c r="K334" i="3"/>
  <c r="K425" i="3"/>
  <c r="K543" i="3"/>
  <c r="L543" i="3" s="1"/>
  <c r="K639" i="3"/>
  <c r="K45" i="3"/>
  <c r="K158" i="3"/>
  <c r="K205" i="3"/>
  <c r="K350" i="3"/>
  <c r="L350" i="3" s="1"/>
  <c r="K366" i="3"/>
  <c r="K609" i="3"/>
  <c r="L609" i="3" s="1"/>
  <c r="K624" i="3"/>
  <c r="K46" i="3"/>
  <c r="K85" i="3"/>
  <c r="K136" i="3"/>
  <c r="L136" i="3" s="1"/>
  <c r="K229" i="3"/>
  <c r="K281" i="3"/>
  <c r="K351" i="3"/>
  <c r="K359" i="3"/>
  <c r="I545" i="3"/>
  <c r="K445" i="3"/>
  <c r="K465" i="3"/>
  <c r="L465" i="3" s="1"/>
  <c r="K617" i="3"/>
  <c r="L617" i="3" s="1"/>
  <c r="K61" i="3"/>
  <c r="L61" i="3" s="1"/>
  <c r="K135" i="3"/>
  <c r="L135" i="3" s="1"/>
  <c r="K161" i="3"/>
  <c r="L161" i="3" s="1"/>
  <c r="K209" i="3"/>
  <c r="K238" i="3"/>
  <c r="L238" i="3" s="1"/>
  <c r="K263" i="3"/>
  <c r="K344" i="3"/>
  <c r="L344" i="3" s="1"/>
  <c r="K349" i="3"/>
  <c r="L349" i="3" s="1"/>
  <c r="K360" i="3"/>
  <c r="L360" i="3" s="1"/>
  <c r="I376" i="3"/>
  <c r="K422" i="3"/>
  <c r="L422" i="3" s="1"/>
  <c r="I521" i="3"/>
  <c r="K553" i="3"/>
  <c r="L553" i="3" s="1"/>
  <c r="I574" i="3"/>
  <c r="L574" i="3" s="1"/>
  <c r="K583" i="3"/>
  <c r="L583" i="3" s="1"/>
  <c r="K22" i="3"/>
  <c r="K31" i="3"/>
  <c r="L31" i="3" s="1"/>
  <c r="K36" i="3"/>
  <c r="L36" i="3" s="1"/>
  <c r="K57" i="3"/>
  <c r="K68" i="3"/>
  <c r="K105" i="3"/>
  <c r="K140" i="3"/>
  <c r="L140" i="3" s="1"/>
  <c r="K167" i="3"/>
  <c r="L167" i="3" s="1"/>
  <c r="K177" i="3"/>
  <c r="K183" i="3"/>
  <c r="K239" i="3"/>
  <c r="L239" i="3" s="1"/>
  <c r="K278" i="3"/>
  <c r="K289" i="3"/>
  <c r="K317" i="3"/>
  <c r="K388" i="3"/>
  <c r="K397" i="3"/>
  <c r="L397" i="3" s="1"/>
  <c r="K449" i="3"/>
  <c r="L449" i="3" s="1"/>
  <c r="K485" i="3"/>
  <c r="L485" i="3" s="1"/>
  <c r="K517" i="3"/>
  <c r="L517" i="3" s="1"/>
  <c r="K589" i="3"/>
  <c r="L589" i="3" s="1"/>
  <c r="K628" i="3"/>
  <c r="K638" i="3"/>
  <c r="L638" i="3" s="1"/>
  <c r="K599" i="3"/>
  <c r="I32" i="3"/>
  <c r="I37" i="3"/>
  <c r="K141" i="3"/>
  <c r="L141" i="3" s="1"/>
  <c r="K312" i="3"/>
  <c r="L312" i="3" s="1"/>
  <c r="I398" i="3"/>
  <c r="K439" i="3"/>
  <c r="I445" i="3"/>
  <c r="I481" i="3"/>
  <c r="I639" i="3"/>
  <c r="K95" i="3"/>
  <c r="L95" i="3" s="1"/>
  <c r="K111" i="3"/>
  <c r="L111" i="3" s="1"/>
  <c r="K173" i="3"/>
  <c r="L173" i="3" s="1"/>
  <c r="K189" i="3"/>
  <c r="L189" i="3" s="1"/>
  <c r="K221" i="3"/>
  <c r="K225" i="3"/>
  <c r="L225" i="3" s="1"/>
  <c r="K249" i="3"/>
  <c r="L249" i="3" s="1"/>
  <c r="K301" i="3"/>
  <c r="L301" i="3" s="1"/>
  <c r="I351" i="3"/>
  <c r="K367" i="3"/>
  <c r="L367" i="3" s="1"/>
  <c r="I471" i="3"/>
  <c r="K487" i="3"/>
  <c r="K518" i="3"/>
  <c r="L518" i="3" s="1"/>
  <c r="K541" i="3"/>
  <c r="L541" i="3" s="1"/>
  <c r="K614" i="3"/>
  <c r="L614" i="3" s="1"/>
  <c r="K629" i="3"/>
  <c r="L629" i="3" s="1"/>
  <c r="I85" i="3"/>
  <c r="K13" i="3"/>
  <c r="L13" i="3" s="1"/>
  <c r="K23" i="3"/>
  <c r="L23" i="3" s="1"/>
  <c r="K53" i="3"/>
  <c r="K70" i="3"/>
  <c r="K101" i="3"/>
  <c r="L101" i="3" s="1"/>
  <c r="K112" i="3"/>
  <c r="K127" i="3"/>
  <c r="K152" i="3"/>
  <c r="L152" i="3" s="1"/>
  <c r="K164" i="3"/>
  <c r="I221" i="3"/>
  <c r="K255" i="3"/>
  <c r="L255" i="3" s="1"/>
  <c r="K296" i="3"/>
  <c r="L296" i="3" s="1"/>
  <c r="K373" i="3"/>
  <c r="L373" i="3" s="1"/>
  <c r="K399" i="3"/>
  <c r="K446" i="3"/>
  <c r="K461" i="3"/>
  <c r="L461" i="3" s="1"/>
  <c r="I487" i="3"/>
  <c r="K533" i="3"/>
  <c r="L533" i="3" s="1"/>
  <c r="K615" i="3"/>
  <c r="K625" i="3"/>
  <c r="K630" i="3"/>
  <c r="K38" i="3"/>
  <c r="K81" i="3"/>
  <c r="K133" i="3"/>
  <c r="K201" i="3"/>
  <c r="K236" i="3"/>
  <c r="K336" i="3"/>
  <c r="K457" i="3"/>
  <c r="L457" i="3" s="1"/>
  <c r="K493" i="3"/>
  <c r="L493" i="3" s="1"/>
  <c r="K509" i="3"/>
  <c r="K49" i="3"/>
  <c r="L49" i="3" s="1"/>
  <c r="K113" i="3"/>
  <c r="L113" i="3" s="1"/>
  <c r="K134" i="3"/>
  <c r="K143" i="3"/>
  <c r="L143" i="3" s="1"/>
  <c r="K159" i="3"/>
  <c r="L159" i="3" s="1"/>
  <c r="K237" i="3"/>
  <c r="I247" i="3"/>
  <c r="K271" i="3"/>
  <c r="L271" i="3" s="1"/>
  <c r="K337" i="3"/>
  <c r="K369" i="3"/>
  <c r="L369" i="3" s="1"/>
  <c r="K415" i="3"/>
  <c r="L415" i="3" s="1"/>
  <c r="I425" i="3"/>
  <c r="I447" i="3"/>
  <c r="I577" i="3"/>
  <c r="K612" i="3"/>
  <c r="K97" i="3"/>
  <c r="L97" i="3" s="1"/>
  <c r="K261" i="3"/>
  <c r="L261" i="3" s="1"/>
  <c r="K406" i="3"/>
  <c r="K421" i="3"/>
  <c r="L421" i="3" s="1"/>
  <c r="K431" i="3"/>
  <c r="I463" i="3"/>
  <c r="K473" i="3"/>
  <c r="L473" i="3" s="1"/>
  <c r="K567" i="3"/>
  <c r="L567" i="3" s="1"/>
  <c r="K591" i="3"/>
  <c r="L591" i="3" s="1"/>
  <c r="K622" i="3"/>
  <c r="L622" i="3" s="1"/>
  <c r="K631" i="3"/>
  <c r="L631" i="3" s="1"/>
  <c r="K5" i="3"/>
  <c r="L5" i="3" s="1"/>
  <c r="K15" i="3"/>
  <c r="L15" i="3" s="1"/>
  <c r="K55" i="3"/>
  <c r="L55" i="3" s="1"/>
  <c r="K77" i="3"/>
  <c r="L77" i="3" s="1"/>
  <c r="K103" i="3"/>
  <c r="L103" i="3" s="1"/>
  <c r="K181" i="3"/>
  <c r="L181" i="3" s="1"/>
  <c r="K287" i="3"/>
  <c r="L287" i="3" s="1"/>
  <c r="K326" i="3"/>
  <c r="K343" i="3"/>
  <c r="L343" i="3" s="1"/>
  <c r="K375" i="3"/>
  <c r="L375" i="3" s="1"/>
  <c r="K380" i="3"/>
  <c r="L380" i="3" s="1"/>
  <c r="K391" i="3"/>
  <c r="L391" i="3" s="1"/>
  <c r="I406" i="3"/>
  <c r="I431" i="3"/>
  <c r="K437" i="3"/>
  <c r="K505" i="3"/>
  <c r="L505" i="3" s="1"/>
  <c r="K568" i="3"/>
  <c r="K592" i="3"/>
  <c r="K597" i="3"/>
  <c r="L597" i="3" s="1"/>
  <c r="I622" i="3"/>
  <c r="L241" i="3"/>
  <c r="K6" i="3"/>
  <c r="K24" i="3"/>
  <c r="L24" i="3" s="1"/>
  <c r="K28" i="3"/>
  <c r="K41" i="3"/>
  <c r="L41" i="3" s="1"/>
  <c r="K63" i="3"/>
  <c r="L63" i="3" s="1"/>
  <c r="I68" i="3"/>
  <c r="I73" i="3"/>
  <c r="L73" i="3" s="1"/>
  <c r="K86" i="3"/>
  <c r="L86" i="3" s="1"/>
  <c r="K108" i="3"/>
  <c r="K116" i="3"/>
  <c r="L116" i="3" s="1"/>
  <c r="K121" i="3"/>
  <c r="L121" i="3" s="1"/>
  <c r="K125" i="3"/>
  <c r="L125" i="3" s="1"/>
  <c r="K151" i="3"/>
  <c r="L151" i="3" s="1"/>
  <c r="I209" i="3"/>
  <c r="I236" i="3"/>
  <c r="K248" i="3"/>
  <c r="L248" i="3" s="1"/>
  <c r="K260" i="3"/>
  <c r="L260" i="3" s="1"/>
  <c r="K272" i="3"/>
  <c r="L272" i="3" s="1"/>
  <c r="I281" i="3"/>
  <c r="I285" i="3"/>
  <c r="L285" i="3" s="1"/>
  <c r="I289" i="3"/>
  <c r="I293" i="3"/>
  <c r="I305" i="3"/>
  <c r="K352" i="3"/>
  <c r="K390" i="3"/>
  <c r="L390" i="3" s="1"/>
  <c r="K420" i="3"/>
  <c r="L420" i="3" s="1"/>
  <c r="K495" i="3"/>
  <c r="K511" i="3"/>
  <c r="L511" i="3" s="1"/>
  <c r="K544" i="3"/>
  <c r="K556" i="3"/>
  <c r="K585" i="3"/>
  <c r="L585" i="3" s="1"/>
  <c r="K598" i="3"/>
  <c r="L598" i="3" s="1"/>
  <c r="K605" i="3"/>
  <c r="L605" i="3" s="1"/>
  <c r="L439" i="3"/>
  <c r="K20" i="3"/>
  <c r="L20" i="3" s="1"/>
  <c r="K33" i="3"/>
  <c r="K117" i="3"/>
  <c r="K129" i="3"/>
  <c r="L129" i="3" s="1"/>
  <c r="K156" i="3"/>
  <c r="K165" i="3"/>
  <c r="L165" i="3" s="1"/>
  <c r="K193" i="3"/>
  <c r="L193" i="3" s="1"/>
  <c r="K217" i="3"/>
  <c r="K233" i="3"/>
  <c r="L233" i="3" s="1"/>
  <c r="K257" i="3"/>
  <c r="L257" i="3" s="1"/>
  <c r="K269" i="3"/>
  <c r="L269" i="3" s="1"/>
  <c r="K311" i="3"/>
  <c r="L311" i="3" s="1"/>
  <c r="K320" i="3"/>
  <c r="L320" i="3" s="1"/>
  <c r="K377" i="3"/>
  <c r="K432" i="3"/>
  <c r="K573" i="3"/>
  <c r="L573" i="3" s="1"/>
  <c r="K593" i="3"/>
  <c r="L593" i="3" s="1"/>
  <c r="K606" i="3"/>
  <c r="K623" i="3"/>
  <c r="L623" i="3" s="1"/>
  <c r="K640" i="3"/>
  <c r="L177" i="3"/>
  <c r="L4" i="3"/>
  <c r="I201" i="3"/>
  <c r="I229" i="3"/>
  <c r="I328" i="3"/>
  <c r="L328" i="3" s="1"/>
  <c r="I337" i="3"/>
  <c r="I340" i="3"/>
  <c r="I399" i="3"/>
  <c r="I38" i="3"/>
  <c r="K7" i="3"/>
  <c r="L7" i="3" s="1"/>
  <c r="K12" i="3"/>
  <c r="L12" i="3" s="1"/>
  <c r="K29" i="3"/>
  <c r="L29" i="3" s="1"/>
  <c r="I56" i="3"/>
  <c r="K96" i="3"/>
  <c r="L96" i="3" s="1"/>
  <c r="K100" i="3"/>
  <c r="I104" i="3"/>
  <c r="L104" i="3" s="1"/>
  <c r="K109" i="3"/>
  <c r="L109" i="3" s="1"/>
  <c r="I157" i="3"/>
  <c r="L157" i="3" s="1"/>
  <c r="K166" i="3"/>
  <c r="L166" i="3" s="1"/>
  <c r="L214" i="3"/>
  <c r="I237" i="3"/>
  <c r="I245" i="3"/>
  <c r="K321" i="3"/>
  <c r="L321" i="3" s="1"/>
  <c r="K333" i="3"/>
  <c r="L333" i="3" s="1"/>
  <c r="K417" i="3"/>
  <c r="L417" i="3" s="1"/>
  <c r="I437" i="3"/>
  <c r="K441" i="3"/>
  <c r="L441" i="3" s="1"/>
  <c r="I497" i="3"/>
  <c r="L497" i="3" s="1"/>
  <c r="I509" i="3"/>
  <c r="K525" i="3"/>
  <c r="L525" i="3" s="1"/>
  <c r="K537" i="3"/>
  <c r="L537" i="3" s="1"/>
  <c r="K549" i="3"/>
  <c r="L549" i="3" s="1"/>
  <c r="K557" i="3"/>
  <c r="K590" i="3"/>
  <c r="L590" i="3" s="1"/>
  <c r="I599" i="3"/>
  <c r="I615" i="3"/>
  <c r="K8" i="3"/>
  <c r="L8" i="3" s="1"/>
  <c r="K30" i="3"/>
  <c r="K48" i="3"/>
  <c r="L48" i="3" s="1"/>
  <c r="K52" i="3"/>
  <c r="K65" i="3"/>
  <c r="L65" i="3" s="1"/>
  <c r="K87" i="3"/>
  <c r="L87" i="3" s="1"/>
  <c r="K92" i="3"/>
  <c r="L92" i="3" s="1"/>
  <c r="I100" i="3"/>
  <c r="K110" i="3"/>
  <c r="K126" i="3"/>
  <c r="L126" i="3" s="1"/>
  <c r="K149" i="3"/>
  <c r="L149" i="3" s="1"/>
  <c r="K253" i="3"/>
  <c r="L253" i="3" s="1"/>
  <c r="K341" i="3"/>
  <c r="K365" i="3"/>
  <c r="L365" i="3" s="1"/>
  <c r="K374" i="3"/>
  <c r="L374" i="3" s="1"/>
  <c r="K384" i="3"/>
  <c r="K396" i="3"/>
  <c r="L396" i="3" s="1"/>
  <c r="K413" i="3"/>
  <c r="K433" i="3"/>
  <c r="L433" i="3" s="1"/>
  <c r="K501" i="3"/>
  <c r="L501" i="3" s="1"/>
  <c r="K513" i="3"/>
  <c r="L513" i="3" s="1"/>
  <c r="K558" i="3"/>
  <c r="K575" i="3"/>
  <c r="L575" i="3" s="1"/>
  <c r="K607" i="3"/>
  <c r="L607" i="3" s="1"/>
  <c r="K641" i="3"/>
  <c r="L641" i="3" s="1"/>
  <c r="L153" i="3"/>
  <c r="K62" i="3"/>
  <c r="K84" i="3"/>
  <c r="L84" i="3" s="1"/>
  <c r="I88" i="3"/>
  <c r="L88" i="3" s="1"/>
  <c r="I132" i="3"/>
  <c r="L132" i="3" s="1"/>
  <c r="K137" i="3"/>
  <c r="I145" i="3"/>
  <c r="L145" i="3" s="1"/>
  <c r="I334" i="3"/>
  <c r="I359" i="3"/>
  <c r="I446" i="3"/>
  <c r="K527" i="3"/>
  <c r="K551" i="3"/>
  <c r="I625" i="3"/>
  <c r="I44" i="3"/>
  <c r="K9" i="3"/>
  <c r="K40" i="3"/>
  <c r="I62" i="3"/>
  <c r="K71" i="3"/>
  <c r="L71" i="3" s="1"/>
  <c r="K80" i="3"/>
  <c r="L80" i="3" s="1"/>
  <c r="K93" i="3"/>
  <c r="K120" i="3"/>
  <c r="L120" i="3" s="1"/>
  <c r="K128" i="3"/>
  <c r="L128" i="3" s="1"/>
  <c r="I137" i="3"/>
  <c r="K150" i="3"/>
  <c r="I175" i="3"/>
  <c r="I183" i="3"/>
  <c r="I191" i="3"/>
  <c r="L191" i="3" s="1"/>
  <c r="I199" i="3"/>
  <c r="L199" i="3" s="1"/>
  <c r="K207" i="3"/>
  <c r="L207" i="3" s="1"/>
  <c r="I215" i="3"/>
  <c r="L215" i="3" s="1"/>
  <c r="I231" i="3"/>
  <c r="I263" i="3"/>
  <c r="K279" i="3"/>
  <c r="L279" i="3" s="1"/>
  <c r="K303" i="3"/>
  <c r="L303" i="3" s="1"/>
  <c r="K308" i="3"/>
  <c r="L308" i="3" s="1"/>
  <c r="I326" i="3"/>
  <c r="L326" i="3" s="1"/>
  <c r="K329" i="3"/>
  <c r="L329" i="3" s="1"/>
  <c r="I385" i="3"/>
  <c r="K389" i="3"/>
  <c r="K405" i="3"/>
  <c r="L405" i="3" s="1"/>
  <c r="K470" i="3"/>
  <c r="L470" i="3" s="1"/>
  <c r="K494" i="3"/>
  <c r="L494" i="3" s="1"/>
  <c r="K503" i="3"/>
  <c r="L503" i="3" s="1"/>
  <c r="I527" i="3"/>
  <c r="I551" i="3"/>
  <c r="K576" i="3"/>
  <c r="K588" i="3"/>
  <c r="K604" i="3"/>
  <c r="K633" i="3"/>
  <c r="L633" i="3" s="1"/>
  <c r="K14" i="3"/>
  <c r="K212" i="3"/>
  <c r="K335" i="3"/>
  <c r="L423" i="3"/>
  <c r="K455" i="3"/>
  <c r="K479" i="3"/>
  <c r="L535" i="3"/>
  <c r="K621" i="3"/>
  <c r="L621" i="3" s="1"/>
  <c r="I14" i="3"/>
  <c r="K54" i="3"/>
  <c r="K72" i="3"/>
  <c r="L72" i="3" s="1"/>
  <c r="K76" i="3"/>
  <c r="K94" i="3"/>
  <c r="K102" i="3"/>
  <c r="K168" i="3"/>
  <c r="I212" i="3"/>
  <c r="I335" i="3"/>
  <c r="K372" i="3"/>
  <c r="I455" i="3"/>
  <c r="I479" i="3"/>
  <c r="K564" i="3"/>
  <c r="K580" i="3"/>
  <c r="L110" i="3"/>
  <c r="L53" i="3"/>
  <c r="K288" i="3"/>
  <c r="I288" i="3"/>
  <c r="K532" i="3"/>
  <c r="I532" i="3"/>
  <c r="I6" i="3"/>
  <c r="I30" i="3"/>
  <c r="I54" i="3"/>
  <c r="I78" i="3"/>
  <c r="L78" i="3" s="1"/>
  <c r="I102" i="3"/>
  <c r="I112" i="3"/>
  <c r="I117" i="3"/>
  <c r="I127" i="3"/>
  <c r="L127" i="3" s="1"/>
  <c r="I156" i="3"/>
  <c r="I176" i="3"/>
  <c r="K192" i="3"/>
  <c r="I192" i="3"/>
  <c r="I205" i="3"/>
  <c r="K268" i="3"/>
  <c r="I268" i="3"/>
  <c r="K302" i="3"/>
  <c r="K313" i="3"/>
  <c r="L313" i="3" s="1"/>
  <c r="I368" i="3"/>
  <c r="K368" i="3"/>
  <c r="L401" i="3"/>
  <c r="K148" i="3"/>
  <c r="L148" i="3" s="1"/>
  <c r="K228" i="3"/>
  <c r="I228" i="3"/>
  <c r="K292" i="3"/>
  <c r="I292" i="3"/>
  <c r="K310" i="3"/>
  <c r="I310" i="3"/>
  <c r="I357" i="3"/>
  <c r="K357" i="3"/>
  <c r="K222" i="3"/>
  <c r="I222" i="3"/>
  <c r="K353" i="3"/>
  <c r="I353" i="3"/>
  <c r="K364" i="3"/>
  <c r="I364" i="3"/>
  <c r="I52" i="3"/>
  <c r="I9" i="3"/>
  <c r="I21" i="3"/>
  <c r="I33" i="3"/>
  <c r="I45" i="3"/>
  <c r="I57" i="3"/>
  <c r="I69" i="3"/>
  <c r="I81" i="3"/>
  <c r="I93" i="3"/>
  <c r="I105" i="3"/>
  <c r="L105" i="3" s="1"/>
  <c r="I133" i="3"/>
  <c r="I168" i="3"/>
  <c r="K180" i="3"/>
  <c r="I180" i="3"/>
  <c r="K206" i="3"/>
  <c r="I206" i="3"/>
  <c r="K252" i="3"/>
  <c r="I252" i="3"/>
  <c r="K318" i="3"/>
  <c r="L318" i="3" s="1"/>
  <c r="K382" i="3"/>
  <c r="I382" i="3"/>
  <c r="I28" i="3"/>
  <c r="I76" i="3"/>
  <c r="K16" i="3"/>
  <c r="L16" i="3" s="1"/>
  <c r="K64" i="3"/>
  <c r="L64" i="3" s="1"/>
  <c r="K246" i="3"/>
  <c r="I246" i="3"/>
  <c r="K256" i="3"/>
  <c r="I256" i="3"/>
  <c r="K262" i="3"/>
  <c r="L262" i="3" s="1"/>
  <c r="K319" i="3"/>
  <c r="I319" i="3"/>
  <c r="K407" i="3"/>
  <c r="I407" i="3"/>
  <c r="I478" i="3"/>
  <c r="K478" i="3"/>
  <c r="K232" i="3"/>
  <c r="I232" i="3"/>
  <c r="I108" i="3"/>
  <c r="K144" i="3"/>
  <c r="K184" i="3"/>
  <c r="I184" i="3"/>
  <c r="K200" i="3"/>
  <c r="L200" i="3" s="1"/>
  <c r="K216" i="3"/>
  <c r="I216" i="3"/>
  <c r="K276" i="3"/>
  <c r="I276" i="3"/>
  <c r="K286" i="3"/>
  <c r="L286" i="3" s="1"/>
  <c r="I40" i="3"/>
  <c r="K196" i="3"/>
  <c r="I196" i="3"/>
  <c r="K174" i="3"/>
  <c r="I174" i="3"/>
  <c r="K118" i="3"/>
  <c r="L118" i="3" s="1"/>
  <c r="I144" i="3"/>
  <c r="K160" i="3"/>
  <c r="L160" i="3" s="1"/>
  <c r="K190" i="3"/>
  <c r="L190" i="3" s="1"/>
  <c r="K220" i="3"/>
  <c r="I220" i="3"/>
  <c r="K280" i="3"/>
  <c r="I280" i="3"/>
  <c r="K300" i="3"/>
  <c r="I300" i="3"/>
  <c r="K342" i="3"/>
  <c r="I342" i="3"/>
  <c r="K510" i="3"/>
  <c r="I510" i="3"/>
  <c r="K230" i="3"/>
  <c r="I230" i="3"/>
  <c r="K270" i="3"/>
  <c r="I270" i="3"/>
  <c r="I404" i="3"/>
  <c r="K404" i="3"/>
  <c r="I46" i="3"/>
  <c r="I70" i="3"/>
  <c r="I94" i="3"/>
  <c r="I134" i="3"/>
  <c r="I158" i="3"/>
  <c r="L158" i="3" s="1"/>
  <c r="I217" i="3"/>
  <c r="K240" i="3"/>
  <c r="I240" i="3"/>
  <c r="I277" i="3"/>
  <c r="K294" i="3"/>
  <c r="I294" i="3"/>
  <c r="I22" i="3"/>
  <c r="I150" i="3"/>
  <c r="I164" i="3"/>
  <c r="K172" i="3"/>
  <c r="L172" i="3" s="1"/>
  <c r="I188" i="3"/>
  <c r="K204" i="3"/>
  <c r="I204" i="3"/>
  <c r="K224" i="3"/>
  <c r="L224" i="3" s="1"/>
  <c r="K244" i="3"/>
  <c r="I244" i="3"/>
  <c r="K254" i="3"/>
  <c r="I254" i="3"/>
  <c r="I316" i="3"/>
  <c r="L316" i="3" s="1"/>
  <c r="K327" i="3"/>
  <c r="I327" i="3"/>
  <c r="I393" i="3"/>
  <c r="K393" i="3"/>
  <c r="K142" i="3"/>
  <c r="L142" i="3" s="1"/>
  <c r="K182" i="3"/>
  <c r="I182" i="3"/>
  <c r="K198" i="3"/>
  <c r="I198" i="3"/>
  <c r="K208" i="3"/>
  <c r="I208" i="3"/>
  <c r="K264" i="3"/>
  <c r="I264" i="3"/>
  <c r="I332" i="3"/>
  <c r="K332" i="3"/>
  <c r="K348" i="3"/>
  <c r="I348" i="3"/>
  <c r="K440" i="3"/>
  <c r="I440" i="3"/>
  <c r="K460" i="3"/>
  <c r="I460" i="3"/>
  <c r="K496" i="3"/>
  <c r="I496" i="3"/>
  <c r="K536" i="3"/>
  <c r="I536" i="3"/>
  <c r="K540" i="3"/>
  <c r="I540" i="3"/>
  <c r="I413" i="3"/>
  <c r="K464" i="3"/>
  <c r="I464" i="3"/>
  <c r="K468" i="3"/>
  <c r="I468" i="3"/>
  <c r="K500" i="3"/>
  <c r="I500" i="3"/>
  <c r="K504" i="3"/>
  <c r="I504" i="3"/>
  <c r="K552" i="3"/>
  <c r="I552" i="3"/>
  <c r="K416" i="3"/>
  <c r="L416" i="3" s="1"/>
  <c r="K560" i="3"/>
  <c r="I560" i="3"/>
  <c r="K572" i="3"/>
  <c r="I572" i="3"/>
  <c r="K584" i="3"/>
  <c r="I584" i="3"/>
  <c r="K596" i="3"/>
  <c r="I596" i="3"/>
  <c r="K608" i="3"/>
  <c r="I608" i="3"/>
  <c r="K620" i="3"/>
  <c r="I620" i="3"/>
  <c r="K632" i="3"/>
  <c r="I632" i="3"/>
  <c r="I304" i="3"/>
  <c r="L304" i="3" s="1"/>
  <c r="I336" i="3"/>
  <c r="I341" i="3"/>
  <c r="I352" i="3"/>
  <c r="K358" i="3"/>
  <c r="L358" i="3" s="1"/>
  <c r="I366" i="3"/>
  <c r="I372" i="3"/>
  <c r="I377" i="3"/>
  <c r="K383" i="3"/>
  <c r="L383" i="3" s="1"/>
  <c r="I388" i="3"/>
  <c r="I408" i="3"/>
  <c r="K428" i="3"/>
  <c r="L428" i="3" s="1"/>
  <c r="I444" i="3"/>
  <c r="I454" i="3"/>
  <c r="K454" i="3"/>
  <c r="K486" i="3"/>
  <c r="I486" i="3"/>
  <c r="K548" i="3"/>
  <c r="I548" i="3"/>
  <c r="K309" i="3"/>
  <c r="L309" i="3" s="1"/>
  <c r="K414" i="3"/>
  <c r="K472" i="3"/>
  <c r="I472" i="3"/>
  <c r="K508" i="3"/>
  <c r="I508" i="3"/>
  <c r="I278" i="3"/>
  <c r="I302" i="3"/>
  <c r="I317" i="3"/>
  <c r="I414" i="3"/>
  <c r="I432" i="3"/>
  <c r="K438" i="3"/>
  <c r="I438" i="3"/>
  <c r="K476" i="3"/>
  <c r="I476" i="3"/>
  <c r="K480" i="3"/>
  <c r="I480" i="3"/>
  <c r="K512" i="3"/>
  <c r="I512" i="3"/>
  <c r="K516" i="3"/>
  <c r="I516" i="3"/>
  <c r="K534" i="3"/>
  <c r="I534" i="3"/>
  <c r="L557" i="3"/>
  <c r="I384" i="3"/>
  <c r="I389" i="3"/>
  <c r="I400" i="3"/>
  <c r="K462" i="3"/>
  <c r="I462" i="3"/>
  <c r="I502" i="3"/>
  <c r="K502" i="3"/>
  <c r="K520" i="3"/>
  <c r="I520" i="3"/>
  <c r="K448" i="3"/>
  <c r="I448" i="3"/>
  <c r="K484" i="3"/>
  <c r="I484" i="3"/>
  <c r="K524" i="3"/>
  <c r="I524" i="3"/>
  <c r="K528" i="3"/>
  <c r="I528" i="3"/>
  <c r="K345" i="3"/>
  <c r="L345" i="3" s="1"/>
  <c r="K356" i="3"/>
  <c r="L356" i="3" s="1"/>
  <c r="K381" i="3"/>
  <c r="L381" i="3" s="1"/>
  <c r="K392" i="3"/>
  <c r="L392" i="3" s="1"/>
  <c r="K412" i="3"/>
  <c r="I412" i="3"/>
  <c r="K430" i="3"/>
  <c r="K452" i="3"/>
  <c r="I452" i="3"/>
  <c r="K456" i="3"/>
  <c r="I456" i="3"/>
  <c r="K488" i="3"/>
  <c r="I488" i="3"/>
  <c r="K492" i="3"/>
  <c r="I492" i="3"/>
  <c r="L495" i="3"/>
  <c r="K424" i="3"/>
  <c r="I424" i="3"/>
  <c r="I430" i="3"/>
  <c r="K436" i="3"/>
  <c r="I436" i="3"/>
  <c r="K526" i="3"/>
  <c r="L526" i="3" s="1"/>
  <c r="K550" i="3"/>
  <c r="L550" i="3" s="1"/>
  <c r="I558" i="3"/>
  <c r="I582" i="3"/>
  <c r="I606" i="3"/>
  <c r="I630" i="3"/>
  <c r="I544" i="3"/>
  <c r="I556" i="3"/>
  <c r="L556" i="3" s="1"/>
  <c r="I568" i="3"/>
  <c r="L568" i="3" s="1"/>
  <c r="I580" i="3"/>
  <c r="I592" i="3"/>
  <c r="I604" i="3"/>
  <c r="I616" i="3"/>
  <c r="I628" i="3"/>
  <c r="L628" i="3" s="1"/>
  <c r="I640" i="3"/>
  <c r="I564" i="3"/>
  <c r="I576" i="3"/>
  <c r="I588" i="3"/>
  <c r="I600" i="3"/>
  <c r="I612" i="3"/>
  <c r="I624" i="3"/>
  <c r="L624" i="3" s="1"/>
  <c r="I636" i="3"/>
  <c r="L616" i="3" l="1"/>
  <c r="L245" i="3"/>
  <c r="L487" i="3"/>
  <c r="L112" i="3"/>
  <c r="L247" i="3"/>
  <c r="L56" i="3"/>
  <c r="L615" i="3"/>
  <c r="L176" i="3"/>
  <c r="L366" i="3"/>
  <c r="L69" i="3"/>
  <c r="L582" i="3"/>
  <c r="L46" i="3"/>
  <c r="L639" i="3"/>
  <c r="L277" i="3"/>
  <c r="L28" i="3"/>
  <c r="L231" i="3"/>
  <c r="L45" i="3"/>
  <c r="L94" i="3"/>
  <c r="L425" i="3"/>
  <c r="L108" i="3"/>
  <c r="L337" i="3"/>
  <c r="L558" i="3"/>
  <c r="L509" i="3"/>
  <c r="L263" i="3"/>
  <c r="L592" i="3"/>
  <c r="L545" i="3"/>
  <c r="L57" i="3"/>
  <c r="L636" i="3"/>
  <c r="L336" i="3"/>
  <c r="L606" i="3"/>
  <c r="L229" i="3"/>
  <c r="L521" i="3"/>
  <c r="L22" i="3"/>
  <c r="L479" i="3"/>
  <c r="L276" i="3"/>
  <c r="L175" i="3"/>
  <c r="L237" i="3"/>
  <c r="L278" i="3"/>
  <c r="L85" i="3"/>
  <c r="L208" i="3"/>
  <c r="L254" i="3"/>
  <c r="L400" i="3"/>
  <c r="L382" i="3"/>
  <c r="L156" i="3"/>
  <c r="L351" i="3"/>
  <c r="L398" i="3"/>
  <c r="L117" i="3"/>
  <c r="L406" i="3"/>
  <c r="L21" i="3"/>
  <c r="L54" i="3"/>
  <c r="L100" i="3"/>
  <c r="L32" i="3"/>
  <c r="L44" i="3"/>
  <c r="L630" i="3"/>
  <c r="L577" i="3"/>
  <c r="L565" i="3"/>
  <c r="L600" i="3"/>
  <c r="L408" i="3"/>
  <c r="L236" i="3"/>
  <c r="L164" i="3"/>
  <c r="L471" i="3"/>
  <c r="L540" i="3"/>
  <c r="L599" i="3"/>
  <c r="L305" i="3"/>
  <c r="L484" i="3"/>
  <c r="L481" i="3"/>
  <c r="L281" i="3"/>
  <c r="L588" i="3"/>
  <c r="L270" i="3"/>
  <c r="L292" i="3"/>
  <c r="L446" i="3"/>
  <c r="L376" i="3"/>
  <c r="L447" i="3"/>
  <c r="L168" i="3"/>
  <c r="L385" i="3"/>
  <c r="L289" i="3"/>
  <c r="L221" i="3"/>
  <c r="L341" i="3"/>
  <c r="L572" i="3"/>
  <c r="L444" i="3"/>
  <c r="L192" i="3"/>
  <c r="L340" i="3"/>
  <c r="L612" i="3"/>
  <c r="L389" i="3"/>
  <c r="L68" i="3"/>
  <c r="L334" i="3"/>
  <c r="L384" i="3"/>
  <c r="L217" i="3"/>
  <c r="L317" i="3"/>
  <c r="L388" i="3"/>
  <c r="L455" i="3"/>
  <c r="L445" i="3"/>
  <c r="L293" i="3"/>
  <c r="L188" i="3"/>
  <c r="L134" i="3"/>
  <c r="L81" i="3"/>
  <c r="L201" i="3"/>
  <c r="L492" i="3"/>
  <c r="L144" i="3"/>
  <c r="L452" i="3"/>
  <c r="L462" i="3"/>
  <c r="L431" i="3"/>
  <c r="L198" i="3"/>
  <c r="L206" i="3"/>
  <c r="L359" i="3"/>
  <c r="L564" i="3"/>
  <c r="L412" i="3"/>
  <c r="L448" i="3"/>
  <c r="L632" i="3"/>
  <c r="L560" i="3"/>
  <c r="L240" i="3"/>
  <c r="L40" i="3"/>
  <c r="L52" i="3"/>
  <c r="L137" i="3"/>
  <c r="L37" i="3"/>
  <c r="L413" i="3"/>
  <c r="L205" i="3"/>
  <c r="L38" i="3"/>
  <c r="L133" i="3"/>
  <c r="L552" i="3"/>
  <c r="L377" i="3"/>
  <c r="L93" i="3"/>
  <c r="L372" i="3"/>
  <c r="L463" i="3"/>
  <c r="L70" i="3"/>
  <c r="L209" i="3"/>
  <c r="L486" i="3"/>
  <c r="L464" i="3"/>
  <c r="L440" i="3"/>
  <c r="L544" i="3"/>
  <c r="L150" i="3"/>
  <c r="L230" i="3"/>
  <c r="L335" i="3"/>
  <c r="L437" i="3"/>
  <c r="L576" i="3"/>
  <c r="L352" i="3"/>
  <c r="L212" i="3"/>
  <c r="L625" i="3"/>
  <c r="L640" i="3"/>
  <c r="L436" i="3"/>
  <c r="L488" i="3"/>
  <c r="L478" i="3"/>
  <c r="L33" i="3"/>
  <c r="L14" i="3"/>
  <c r="L527" i="3"/>
  <c r="L534" i="3"/>
  <c r="L438" i="3"/>
  <c r="L76" i="3"/>
  <c r="L183" i="3"/>
  <c r="L327" i="3"/>
  <c r="L204" i="3"/>
  <c r="L9" i="3"/>
  <c r="L604" i="3"/>
  <c r="L294" i="3"/>
  <c r="L220" i="3"/>
  <c r="L399" i="3"/>
  <c r="L476" i="3"/>
  <c r="L608" i="3"/>
  <c r="L348" i="3"/>
  <c r="L244" i="3"/>
  <c r="L246" i="3"/>
  <c r="L252" i="3"/>
  <c r="L353" i="3"/>
  <c r="L310" i="3"/>
  <c r="L332" i="3"/>
  <c r="L393" i="3"/>
  <c r="L432" i="3"/>
  <c r="L584" i="3"/>
  <c r="L264" i="3"/>
  <c r="L30" i="3"/>
  <c r="L528" i="3"/>
  <c r="L414" i="3"/>
  <c r="L174" i="3"/>
  <c r="L6" i="3"/>
  <c r="L62" i="3"/>
  <c r="L580" i="3"/>
  <c r="L524" i="3"/>
  <c r="L196" i="3"/>
  <c r="L319" i="3"/>
  <c r="L532" i="3"/>
  <c r="L551" i="3"/>
  <c r="L480" i="3"/>
  <c r="L302" i="3"/>
  <c r="L342" i="3"/>
  <c r="L256" i="3"/>
  <c r="L364" i="3"/>
  <c r="L102" i="3"/>
  <c r="L368" i="3"/>
  <c r="L620" i="3"/>
  <c r="L182" i="3"/>
  <c r="L404" i="3"/>
  <c r="L184" i="3"/>
  <c r="L222" i="3"/>
  <c r="L228" i="3"/>
  <c r="L454" i="3"/>
  <c r="L430" i="3"/>
  <c r="L456" i="3"/>
  <c r="L520" i="3"/>
  <c r="L548" i="3"/>
  <c r="L596" i="3"/>
  <c r="L357" i="3"/>
  <c r="L424" i="3"/>
  <c r="L508" i="3"/>
  <c r="L504" i="3"/>
  <c r="L536" i="3"/>
  <c r="L300" i="3"/>
  <c r="L232" i="3"/>
  <c r="L268" i="3"/>
  <c r="L288" i="3"/>
  <c r="L502" i="3"/>
  <c r="L516" i="3"/>
  <c r="L500" i="3"/>
  <c r="L496" i="3"/>
  <c r="L280" i="3"/>
  <c r="L512" i="3"/>
  <c r="L472" i="3"/>
  <c r="L468" i="3"/>
  <c r="L460" i="3"/>
  <c r="L510" i="3"/>
  <c r="L216" i="3"/>
  <c r="L407" i="3"/>
  <c r="L180" i="3"/>
</calcChain>
</file>

<file path=xl/sharedStrings.xml><?xml version="1.0" encoding="utf-8"?>
<sst xmlns="http://schemas.openxmlformats.org/spreadsheetml/2006/main" count="2515" uniqueCount="820">
  <si>
    <t>GUID</t>
  </si>
  <si>
    <t>name</t>
  </si>
  <si>
    <t>category</t>
  </si>
  <si>
    <t>price</t>
  </si>
  <si>
    <t>description</t>
  </si>
  <si>
    <t>designer</t>
  </si>
  <si>
    <t>FREKVENS</t>
  </si>
  <si>
    <t>Bar furniture</t>
  </si>
  <si>
    <t>Nicholai Wiig Hansen</t>
  </si>
  <si>
    <t>NORDVIKEN</t>
  </si>
  <si>
    <t>Francis Cayouette</t>
  </si>
  <si>
    <t>NORDVIKEN / NORDVIKEN</t>
  </si>
  <si>
    <t>STIG</t>
  </si>
  <si>
    <t>Henrik Preutz</t>
  </si>
  <si>
    <t>NORBERG</t>
  </si>
  <si>
    <t>Marcus Arvonen</t>
  </si>
  <si>
    <t>INGOLF</t>
  </si>
  <si>
    <t>Carina Bengs</t>
  </si>
  <si>
    <t>FRANKLIN</t>
  </si>
  <si>
    <t>K Hagberg/M Hagberg</t>
  </si>
  <si>
    <t>DALFRED</t>
  </si>
  <si>
    <t>Sarah Fager</t>
  </si>
  <si>
    <t>EKEDALEN / EKEDALEN</t>
  </si>
  <si>
    <t>EhlÃ©n Johansson</t>
  </si>
  <si>
    <t>BRIMNES</t>
  </si>
  <si>
    <t>Beds</t>
  </si>
  <si>
    <t>K Hagberg/M Hagberg/IKEA of Sweden</t>
  </si>
  <si>
    <t>NEIDEN</t>
  </si>
  <si>
    <t>Jon Karlsson</t>
  </si>
  <si>
    <t>LEIRVIK</t>
  </si>
  <si>
    <t>IKEA of Sweden/Carina Bengs</t>
  </si>
  <si>
    <t>HEMNES</t>
  </si>
  <si>
    <t>SLATTUM</t>
  </si>
  <si>
    <t>David Wahl</t>
  </si>
  <si>
    <t>Jon Karlsson/IKEA of Sweden</t>
  </si>
  <si>
    <t>SAGSTUA</t>
  </si>
  <si>
    <t>IKEA of Sweden/Paulin Machado</t>
  </si>
  <si>
    <t>ASKVOLL</t>
  </si>
  <si>
    <t>IKEA of Sweden/K Hagberg/M Hagberg</t>
  </si>
  <si>
    <t>GLASSVIK</t>
  </si>
  <si>
    <t>Cabinets &amp; cupboards</t>
  </si>
  <si>
    <t>IKEA of Sweden</t>
  </si>
  <si>
    <t>KALLAX</t>
  </si>
  <si>
    <t>EKET</t>
  </si>
  <si>
    <t>IVAR</t>
  </si>
  <si>
    <t>LOMMARP</t>
  </si>
  <si>
    <t>DETOLF</t>
  </si>
  <si>
    <t>BILLY / OXBERG</t>
  </si>
  <si>
    <t>Gillis Lundgren</t>
  </si>
  <si>
    <t>SYVDE</t>
  </si>
  <si>
    <t>Tord Bjarklund</t>
  </si>
  <si>
    <t>Chairs</t>
  </si>
  <si>
    <t>KARLJAN</t>
  </si>
  <si>
    <t>BLECKBERGET</t>
  </si>
  <si>
    <t>REMSTA</t>
  </si>
  <si>
    <t>STOCKSUND</t>
  </si>
  <si>
    <t>Nike Karlsson</t>
  </si>
  <si>
    <t>FLINTAN</t>
  </si>
  <si>
    <t>IKEA PS GULLHOLMEN</t>
  </si>
  <si>
    <t>Maria Vinka</t>
  </si>
  <si>
    <t>MARKUS</t>
  </si>
  <si>
    <t>BEKVAM</t>
  </si>
  <si>
    <t>JONAXEL</t>
  </si>
  <si>
    <t>Chests of drawers &amp; drawer units</t>
  </si>
  <si>
    <t>BRYGGJA</t>
  </si>
  <si>
    <t>Ola Wihlborg</t>
  </si>
  <si>
    <t>HELMER</t>
  </si>
  <si>
    <t>PLATSA</t>
  </si>
  <si>
    <t>IKEA of Sweden/Ola Wihlborg</t>
  </si>
  <si>
    <t>LENNART</t>
  </si>
  <si>
    <t>MALM</t>
  </si>
  <si>
    <t>RAST</t>
  </si>
  <si>
    <t>SONGESAND</t>
  </si>
  <si>
    <t>KOPPANG</t>
  </si>
  <si>
    <t>Tables &amp; desks</t>
  </si>
  <si>
    <t>STOCKHOLM</t>
  </si>
  <si>
    <t>ALEX</t>
  </si>
  <si>
    <t>Johanna Asshoff</t>
  </si>
  <si>
    <t>LINNMON / ALEX</t>
  </si>
  <si>
    <t>IKEA of Sweden/Johanna Asshoff</t>
  </si>
  <si>
    <t>MELLTORP / ADDE</t>
  </si>
  <si>
    <t>Marcus Arvonen/Lisa Norinder</t>
  </si>
  <si>
    <t>LINNMON / ADILS</t>
  </si>
  <si>
    <t>BURVIK</t>
  </si>
  <si>
    <t>Mikael Axelsson</t>
  </si>
  <si>
    <t>LIATORP</t>
  </si>
  <si>
    <t>PAX / FORSAND/VIKEDAL</t>
  </si>
  <si>
    <t>Wardrobes</t>
  </si>
  <si>
    <t>IKEA of Sweden/EhlÃ©n Johansson</t>
  </si>
  <si>
    <t>Ola Wihlborg/IKEA of Sweden</t>
  </si>
  <si>
    <t>KLEPPSTAD</t>
  </si>
  <si>
    <t>VUKU</t>
  </si>
  <si>
    <t>J Karlsson/W Chong</t>
  </si>
  <si>
    <t>PAX</t>
  </si>
  <si>
    <t>Ehlaon Johansson/IKEA of Sweden</t>
  </si>
  <si>
    <t>Bar table, in/outdoor, 51x51 cm</t>
  </si>
  <si>
    <t>Bar table, 140x80 cm</t>
  </si>
  <si>
    <t>Bar table and 4 bar stools</t>
  </si>
  <si>
    <t>Bar stool with backrest, 74 cm</t>
  </si>
  <si>
    <t>Wall-mounted drop-leaf table, 74x60 cm</t>
  </si>
  <si>
    <t>Bar stool with backrest, 63 cm</t>
  </si>
  <si>
    <t>Bar stool with backrest, foldable, 63 cm</t>
  </si>
  <si>
    <t>Bar stool, 63-74 cm</t>
  </si>
  <si>
    <t>Bed frame w storage and headboard, 140x200 cm</t>
  </si>
  <si>
    <t>Bed frame, 90x200 cm</t>
  </si>
  <si>
    <t>Bed frame, 180x200 cm</t>
  </si>
  <si>
    <t>Bed frame, 140x200 cm</t>
  </si>
  <si>
    <t>Upholstered bed frame, 140x200 cm</t>
  </si>
  <si>
    <t>Bed frame with storage, 90x200 cm</t>
  </si>
  <si>
    <t>Glass door, 60x38 cm</t>
  </si>
  <si>
    <t>Shelving unit, 77x147 cm</t>
  </si>
  <si>
    <t>Cabinet combination with legs, 70x35x80 cm</t>
  </si>
  <si>
    <t>Cabinet, 80x30x83 cm</t>
  </si>
  <si>
    <t>Cabinet with glass doors, 86x199 cm</t>
  </si>
  <si>
    <t>Glass-door cabinet, 43x163 cm</t>
  </si>
  <si>
    <t>Shelving unit with 4 inserts, 77x147 cm</t>
  </si>
  <si>
    <t>Bookcase with doors, 80x30x106 cm</t>
  </si>
  <si>
    <t>Cabinet with glass doors, 100x123 cm</t>
  </si>
  <si>
    <t>Cabinet combination with feet, 70x25x107 cm</t>
  </si>
  <si>
    <t>Chair</t>
  </si>
  <si>
    <t>Swivel chair</t>
  </si>
  <si>
    <t>Armchair</t>
  </si>
  <si>
    <t>Bench</t>
  </si>
  <si>
    <t>Stool</t>
  </si>
  <si>
    <t>Office chair</t>
  </si>
  <si>
    <t>Rocking-chair</t>
  </si>
  <si>
    <t>Step stool, 50 cm</t>
  </si>
  <si>
    <t>Frame with mesh baskets, 25x51x70 cm</t>
  </si>
  <si>
    <t>Chest of 9 drawers, 118x92 cm</t>
  </si>
  <si>
    <t>Drawer unit on castors, 28x69 cm</t>
  </si>
  <si>
    <t>Chest of 2 drawers, 60x42x91 cm</t>
  </si>
  <si>
    <t>Drawer unit</t>
  </si>
  <si>
    <t>Chest of 6 drawers, 160x78 cm</t>
  </si>
  <si>
    <t>Chest of 3 drawers, 62x70 cm</t>
  </si>
  <si>
    <t>Chest of 6 drawers, 161x81 cm</t>
  </si>
  <si>
    <t>Chest of 3 drawers, 80x78 cm</t>
  </si>
  <si>
    <t>Chest of 3 drawers, 90x83 cm</t>
  </si>
  <si>
    <t>Side table, 66x32 cm</t>
  </si>
  <si>
    <t>Coffee table, 180x59 cm</t>
  </si>
  <si>
    <t>Add-on unit, 120x10 cm</t>
  </si>
  <si>
    <t>Table, 150x75 cm</t>
  </si>
  <si>
    <t>Table and 4 chairs, 125 cm</t>
  </si>
  <si>
    <t>Dressing table with mirror, 100x50 cm</t>
  </si>
  <si>
    <t>Table, 200x60 cm</t>
  </si>
  <si>
    <t>Desk, 131x60 cm</t>
  </si>
  <si>
    <t>Side table, 38 cm</t>
  </si>
  <si>
    <t>Console table, 133x37 cm</t>
  </si>
  <si>
    <t>Wardrobe combination, 150x60x201 cm</t>
  </si>
  <si>
    <t>Wardrobe with 2 doors+3 drawers, 160x42x181 cm</t>
  </si>
  <si>
    <t>Wardrobe with 3 doors, 140x42x161 cm</t>
  </si>
  <si>
    <t>Wardrobe with 3 doors, 117x176 cm</t>
  </si>
  <si>
    <t>Wardrobe with 3 doors, 117x190 cm</t>
  </si>
  <si>
    <t>Wardrobe with 2 doors, 79x176 cm</t>
  </si>
  <si>
    <t>Wardrobe with 7 doors+3 drawers, 240x57x221 cm</t>
  </si>
  <si>
    <t>Wardrobe, 74x51x149 cm</t>
  </si>
  <si>
    <t>Wardrobe, 150x60x201 cm</t>
  </si>
  <si>
    <t>Wardrobe with 2 doors, 78x190 cm</t>
  </si>
  <si>
    <t>fd99387c-33d9-c78a-ba29-0286576ddce5</t>
  </si>
  <si>
    <t>56d916ec-e6b5-0e62-9330-0248c6792316</t>
  </si>
  <si>
    <t>d9b1af94-4d49-41f6-5b2d-2d4ac160cdea</t>
  </si>
  <si>
    <t>467e51d7-1659-d2e4-12cb-c64a0d19ecb4</t>
  </si>
  <si>
    <t>655b86b4-3d2a-1bfd-387f-77b7f77ca6c1</t>
  </si>
  <si>
    <t>085ffadd-146b-fcfd-91e5-ca4e50e034c9</t>
  </si>
  <si>
    <t>b34cfdde-5b2b-6ecc-b205-b292f3778a1f</t>
  </si>
  <si>
    <t>02e90226-87d1-3c2c-922d-43682e6b6a80</t>
  </si>
  <si>
    <t>71f8811f-fe2d-0608-24e4-aafe3c7c3d14</t>
  </si>
  <si>
    <t>003cfb2f-6e16-c274-fc0e-29c252101a96</t>
  </si>
  <si>
    <t>a78f0737-89cc-0f8a-9a0d-e8c6e273eab1</t>
  </si>
  <si>
    <t>1442e20e-80ea-aaea-6c88-2006fb5aab51</t>
  </si>
  <si>
    <t>89f5aff1-e712-49f5-5e15-cff7c7645586</t>
  </si>
  <si>
    <t>51148054-1df2-9f84-4d39-e4a81cf67b54</t>
  </si>
  <si>
    <t>a2d45cb9-d09d-ba7a-96f6-56c1a34060e9</t>
  </si>
  <si>
    <t>f72475e8-f0e0-f5c8-54c6-0d9d186c7192</t>
  </si>
  <si>
    <t>2f37aa0c-f1ef-f848-9a93-5be24fabb39a</t>
  </si>
  <si>
    <t>fa5de624-bd79-ad74-4724-929e6b7157fc</t>
  </si>
  <si>
    <t>96c56ab6-e5ff-b0b1-03d9-a36b5f92fe7a</t>
  </si>
  <si>
    <t>534e5402-e20c-0ef2-6cbf-149c70d9ed40</t>
  </si>
  <si>
    <t>98f75cab-7289-50e3-0121-b1daba2395b8</t>
  </si>
  <si>
    <t>4efd05fa-24d6-0142-722f-b12a15eec8d9</t>
  </si>
  <si>
    <t>662fe320-734a-dcc7-5909-1c83ce35e59a</t>
  </si>
  <si>
    <t>aeaaab1a-ee7b-11fb-a76d-3d450a3061fc</t>
  </si>
  <si>
    <t>3dd3234b-a165-6c97-e7ce-6ebb2b8858f6</t>
  </si>
  <si>
    <t>55b3a22e-bbdf-96d8-4f18-ab26263fd836</t>
  </si>
  <si>
    <t>2a0a0f79-d58c-c17f-2d0a-9674bacfface</t>
  </si>
  <si>
    <t>448fa9ea-c3b9-bc75-0d24-0948b18b6a54</t>
  </si>
  <si>
    <t>8578cafd-d7af-95da-927a-8c5af2179671</t>
  </si>
  <si>
    <t>9c076b30-5ecc-3c5b-2293-4f78cdbeaf21</t>
  </si>
  <si>
    <t>ac74c906-571e-85e3-cd0b-c1c6ca444318</t>
  </si>
  <si>
    <t>b1b51428-6873-1892-950a-2e56a731c55c</t>
  </si>
  <si>
    <t>b9e23847-3fd8-6bab-c21a-396003e55b88</t>
  </si>
  <si>
    <t>1bb49345-a2ad-1764-3dc6-3219262c42bf</t>
  </si>
  <si>
    <t>624d3419-49a8-123b-de7c-3ef019ab7784</t>
  </si>
  <si>
    <t>260045d5-fe59-b6db-cc6c-01118c38e2a1</t>
  </si>
  <si>
    <t>4fdcd87f-fb9f-16dd-4542-ed525e525fec</t>
  </si>
  <si>
    <t>1b8063e6-5053-72c0-73be-e8361549f26e</t>
  </si>
  <si>
    <t>36795daa-975d-4ee5-be92-f3d29f44ea51</t>
  </si>
  <si>
    <t>697320cd-1ddf-5a95-db5f-1eed588d1485</t>
  </si>
  <si>
    <t>fa79198c-d471-018d-1498-deba88a184ef</t>
  </si>
  <si>
    <t>9bd54fe9-d85b-19dd-c130-ba09a056c437</t>
  </si>
  <si>
    <t>e4213165-fdcd-9298-0114-76abdd7a75a5</t>
  </si>
  <si>
    <t>6769c815-2918-25ef-f841-72bea3874047</t>
  </si>
  <si>
    <t>a69c4057-b654-170e-c86f-a086886633dd</t>
  </si>
  <si>
    <t>ae5a7a1a-ad74-e20d-83ca-df938c684b11</t>
  </si>
  <si>
    <t>75dd7891-8fbf-c8b1-d2ff-58a532a7dce7</t>
  </si>
  <si>
    <t>f017451a-59c7-81b2-cdc0-87aaeed41d98</t>
  </si>
  <si>
    <t>d0b90cb1-b127-2127-2ec3-76762d0df2f6</t>
  </si>
  <si>
    <t>c8dab26b-6a08-4906-e295-f336e57236ef</t>
  </si>
  <si>
    <t>34d8f0f3-1652-f249-d950-f2cda79f9ec3</t>
  </si>
  <si>
    <t>783cb406-038d-1125-a791-7242f7ee157c</t>
  </si>
  <si>
    <t>71000181-574d-df9e-ae13-9a0f18c74d49</t>
  </si>
  <si>
    <t>b7f71334-9585-f357-1c0e-74887816e8b7</t>
  </si>
  <si>
    <t>ff3df96d-446b-48c6-5976-21c3bed56ab0</t>
  </si>
  <si>
    <t>d5172b57-f80f-c7e0-7a7b-6be8e4ac18f0</t>
  </si>
  <si>
    <t>90858ffa-a85f-292c-fc30-0e0ff690428d</t>
  </si>
  <si>
    <t>c876e746-2451-c0ac-9a6d-040dd371793e</t>
  </si>
  <si>
    <t>3590f6b0-d806-376b-4f6e-c145d5fbae4e</t>
  </si>
  <si>
    <t>bb405725-f3fa-f5db-215f-1068893f6daf</t>
  </si>
  <si>
    <t>84152b58-8b87-31a0-5580-fd894be80e41</t>
  </si>
  <si>
    <t>a451fbc8-e82a-4af7-cb9e-d4bee9e12415</t>
  </si>
  <si>
    <t>056c5537-d7da-be46-b917-02a9d8605081</t>
  </si>
  <si>
    <t>da5ba7f4-1a2d-99aa-7838-e04e0f27f829</t>
  </si>
  <si>
    <t>67f88f13-de43-7a28-5571-175b773f243c</t>
  </si>
  <si>
    <t>cf2ea24b-cb2b-7388-9118-d51044cd7db6</t>
  </si>
  <si>
    <t>e1ed5665-38f3-10de-dd20-4fd6aa8118f5</t>
  </si>
  <si>
    <t>e3c1e74c-23e1-dbf9-30dc-b9e6d1b4277f</t>
  </si>
  <si>
    <t>ef930011-8ad8-b1eb-38a3-3a70cf8036cd</t>
  </si>
  <si>
    <t>e0f850c7-2688-9bc3-18d1-d66ff5c141e2</t>
  </si>
  <si>
    <t>67fa35cc-8825-3082-604a-0491f39dcda1</t>
  </si>
  <si>
    <t>02f81586-659e-cfc6-3aaf-01194c0fc9d3</t>
  </si>
  <si>
    <t>ddd5629b-d202-ccbd-b66c-d1330162722b</t>
  </si>
  <si>
    <t>b0d68d70-819b-6a86-f05b-803c66500754</t>
  </si>
  <si>
    <t>9af15c25-efb7-b314-6b67-3abdaf00949d</t>
  </si>
  <si>
    <t>36916091-6f73-3a2c-ef19-5a2903e812b3</t>
  </si>
  <si>
    <t>0167d319-823d-faf3-78b8-cff389a91f77</t>
  </si>
  <si>
    <t>b4ba2748-8f0e-3053-c0dc-ba84ffc27e2f</t>
  </si>
  <si>
    <t>42ee418f-4aee-91d7-40e9-866b5e6d45f8</t>
  </si>
  <si>
    <t>6af52c3e-6c75-93c4-4e25-f57d7c474f26</t>
  </si>
  <si>
    <t>const products = [</t>
  </si>
  <si>
    <t xml:space="preserve">  {</t>
  </si>
  <si>
    <t>{</t>
  </si>
  <si>
    <t>},</t>
  </si>
  <si>
    <t xml:space="preserve">    GUID: fd99387c-33d9-c78a-ba29-0286576ddce5,</t>
  </si>
  <si>
    <t xml:space="preserve">    name: FREKVENS,</t>
  </si>
  <si>
    <t xml:space="preserve">    category: Bar furniture,</t>
  </si>
  <si>
    <t xml:space="preserve">    price: 265,</t>
  </si>
  <si>
    <t xml:space="preserve">    description: Bar table, in/outdoor, 51x51 cm,</t>
  </si>
  <si>
    <t xml:space="preserve">    designer: Nicholai Wiig Hansen</t>
  </si>
  <si>
    <t xml:space="preserve">    GUID: 56d916ec-e6b5-0e62-9330-0248c6792316,</t>
  </si>
  <si>
    <t xml:space="preserve">    name: NORDVIKEN,</t>
  </si>
  <si>
    <t xml:space="preserve">    price: 995,</t>
  </si>
  <si>
    <t xml:space="preserve">    description: Bar table, 140x80 cm,</t>
  </si>
  <si>
    <t xml:space="preserve">    designer: Francis Cayouette</t>
  </si>
  <si>
    <t xml:space="preserve">    GUID: d9b1af94-4d49-41f6-5b2d-2d4ac160cdea,</t>
  </si>
  <si>
    <t xml:space="preserve">    name: NORDVIKEN / NORDVIKEN,</t>
  </si>
  <si>
    <t xml:space="preserve">    price: 2095,</t>
  </si>
  <si>
    <t xml:space="preserve">    description: Bar table and 4 bar stools,</t>
  </si>
  <si>
    <t xml:space="preserve">    GUID: 467e51d7-1659-d2e4-12cb-c64a0d19ecb4,</t>
  </si>
  <si>
    <t xml:space="preserve">    name: STIG,</t>
  </si>
  <si>
    <t xml:space="preserve">    price: 69,</t>
  </si>
  <si>
    <t xml:space="preserve">    description: Bar stool with backrest, 74 cm,</t>
  </si>
  <si>
    <t xml:space="preserve">    designer: Henrik Preutz</t>
  </si>
  <si>
    <t xml:space="preserve">    GUID: 655b86b4-3d2a-1bfd-387f-77b7f77ca6c1,</t>
  </si>
  <si>
    <t xml:space="preserve">    name: NORBERG,</t>
  </si>
  <si>
    <t xml:space="preserve">    price: 225,</t>
  </si>
  <si>
    <t xml:space="preserve">    description: Wall-mounted drop-leaf table, 74x60 cm,</t>
  </si>
  <si>
    <t xml:space="preserve">    designer: Marcus Arvonen</t>
  </si>
  <si>
    <t xml:space="preserve">    GUID: 085ffadd-146b-fcfd-91e5-ca4e50e034c9,</t>
  </si>
  <si>
    <t xml:space="preserve">    name: INGOLF,</t>
  </si>
  <si>
    <t xml:space="preserve">    price: 345,</t>
  </si>
  <si>
    <t xml:space="preserve">    description: Bar stool with backrest, 63 cm,</t>
  </si>
  <si>
    <t xml:space="preserve">    designer: Carina Bengs</t>
  </si>
  <si>
    <t xml:space="preserve">    GUID: b34cfdde-5b2b-6ecc-b205-b292f3778a1f,</t>
  </si>
  <si>
    <t xml:space="preserve">    name: FRANKLIN,</t>
  </si>
  <si>
    <t xml:space="preserve">    price: 129,</t>
  </si>
  <si>
    <t xml:space="preserve">    description: Bar stool with backrest, foldable, 63 cm,</t>
  </si>
  <si>
    <t xml:space="preserve">    designer: K Hagberg/M Hagberg</t>
  </si>
  <si>
    <t xml:space="preserve">    GUID: 02e90226-87d1-3c2c-922d-43682e6b6a80,</t>
  </si>
  <si>
    <t xml:space="preserve">    name: DALFRED,</t>
  </si>
  <si>
    <t xml:space="preserve">    price: 195,</t>
  </si>
  <si>
    <t xml:space="preserve">    description: Bar stool, 63-74 cm,</t>
  </si>
  <si>
    <t xml:space="preserve">    designer: Sarah Fager</t>
  </si>
  <si>
    <t xml:space="preserve">    GUID: 71f8811f-fe2d-0608-24e4-aafe3c7c3d14,</t>
  </si>
  <si>
    <t xml:space="preserve">    GUID: 003cfb2f-6e16-c274-fc0e-29c252101a96,</t>
  </si>
  <si>
    <t xml:space="preserve">    name: EKEDALEN / EKEDALEN,</t>
  </si>
  <si>
    <t xml:space="preserve">    price: 2176,</t>
  </si>
  <si>
    <t xml:space="preserve">    designer: EhlÃ©n Johansson</t>
  </si>
  <si>
    <t xml:space="preserve">    GUID: a78f0737-89cc-0f8a-9a0d-e8c6e273eab1,</t>
  </si>
  <si>
    <t xml:space="preserve">    name: BRIMNES,</t>
  </si>
  <si>
    <t xml:space="preserve">    category: Beds,</t>
  </si>
  <si>
    <t xml:space="preserve">    price: 795,</t>
  </si>
  <si>
    <t xml:space="preserve">    description: Bed frame w storage and headboard, 140x200 cm,</t>
  </si>
  <si>
    <t xml:space="preserve">    designer: K Hagberg/M Hagberg/IKEA of Sweden</t>
  </si>
  <si>
    <t xml:space="preserve">    GUID: 1442e20e-80ea-aaea-6c88-2006fb5aab51,</t>
  </si>
  <si>
    <t xml:space="preserve">    name: NEIDEN,</t>
  </si>
  <si>
    <t xml:space="preserve">    price: 99,</t>
  </si>
  <si>
    <t xml:space="preserve">    description: Bed frame, 90x200 cm,</t>
  </si>
  <si>
    <t xml:space="preserve">    designer: Jon Karlsson</t>
  </si>
  <si>
    <t xml:space="preserve">    GUID: 89f5aff1-e712-49f5-5e15-cff7c7645586,</t>
  </si>
  <si>
    <t xml:space="preserve">    name: LEIRVIK,</t>
  </si>
  <si>
    <t xml:space="preserve">    price: 1195,</t>
  </si>
  <si>
    <t xml:space="preserve">    description: Bed frame, 180x200 cm,</t>
  </si>
  <si>
    <t xml:space="preserve">    designer: IKEA of Sweden/Carina Bengs</t>
  </si>
  <si>
    <t xml:space="preserve">    GUID: 51148054-1df2-9f84-4d39-e4a81cf67b54,</t>
  </si>
  <si>
    <t xml:space="preserve">    price: 199,</t>
  </si>
  <si>
    <t xml:space="preserve">    description: Bed frame, 140x200 cm,</t>
  </si>
  <si>
    <t xml:space="preserve">    GUID: a2d45cb9-d09d-ba7a-96f6-56c1a34060e9,</t>
  </si>
  <si>
    <t xml:space="preserve">    name: HEMNES,</t>
  </si>
  <si>
    <t xml:space="preserve">    price: 675,</t>
  </si>
  <si>
    <t xml:space="preserve">    GUID: f72475e8-f0e0-f5c8-54c6-0d9d186c7192,</t>
  </si>
  <si>
    <t xml:space="preserve">    name: SLATTUM,</t>
  </si>
  <si>
    <t xml:space="preserve">    price: 595,</t>
  </si>
  <si>
    <t xml:space="preserve">    description: Upholstered bed frame, 140x200 cm,</t>
  </si>
  <si>
    <t xml:space="preserve">    designer: David Wahl</t>
  </si>
  <si>
    <t xml:space="preserve">    GUID: 2f37aa0c-f1ef-f848-9a93-5be24fabb39a,</t>
  </si>
  <si>
    <t xml:space="preserve">    designer: Jon Karlsson/IKEA of Sweden</t>
  </si>
  <si>
    <t xml:space="preserve">    GUID: fa5de624-bd79-ad74-4724-929e6b7157fc,</t>
  </si>
  <si>
    <t xml:space="preserve">    name: SAGSTUA,</t>
  </si>
  <si>
    <t xml:space="preserve">    price: 545,</t>
  </si>
  <si>
    <t xml:space="preserve">    designer: IKEA of Sweden/Paulin Machado</t>
  </si>
  <si>
    <t xml:space="preserve">    GUID: 96c56ab6-e5ff-b0b1-03d9-a36b5f92fe7a,</t>
  </si>
  <si>
    <t xml:space="preserve">    price: 575,</t>
  </si>
  <si>
    <t xml:space="preserve">    description: Bed frame with storage, 90x200 cm,</t>
  </si>
  <si>
    <t xml:space="preserve">    GUID: 534e5402-e20c-0ef2-6cbf-149c70d9ed40,</t>
  </si>
  <si>
    <t xml:space="preserve">    name: ASKVOLL,</t>
  </si>
  <si>
    <t xml:space="preserve">    price: 445,</t>
  </si>
  <si>
    <t xml:space="preserve">    designer: IKEA of Sweden/K Hagberg/M Hagberg</t>
  </si>
  <si>
    <t xml:space="preserve">    GUID: 98f75cab-7289-50e3-0121-b1daba2395b8,</t>
  </si>
  <si>
    <t xml:space="preserve">    GUID: 4efd05fa-24d6-0142-722f-b12a15eec8d9,</t>
  </si>
  <si>
    <t xml:space="preserve">    GUID: 662fe320-734a-dcc7-5909-1c83ce35e59a,</t>
  </si>
  <si>
    <t xml:space="preserve">    GUID: aeaaab1a-ee7b-11fb-a76d-3d450a3061fc,</t>
  </si>
  <si>
    <t xml:space="preserve">    GUID: 3dd3234b-a165-6c97-e7ce-6ebb2b8858f6,</t>
  </si>
  <si>
    <t xml:space="preserve">    GUID: 55b3a22e-bbdf-96d8-4f18-ab26263fd836,</t>
  </si>
  <si>
    <t xml:space="preserve">    GUID: 2a0a0f79-d58c-c17f-2d0a-9674bacfface,</t>
  </si>
  <si>
    <t xml:space="preserve">    GUID: 448fa9ea-c3b9-bc75-0d24-0948b18b6a54,</t>
  </si>
  <si>
    <t xml:space="preserve">    GUID: 8578cafd-d7af-95da-927a-8c5af2179671,</t>
  </si>
  <si>
    <t xml:space="preserve">    GUID: 9c076b30-5ecc-3c5b-2293-4f78cdbeaf21,</t>
  </si>
  <si>
    <t xml:space="preserve">    GUID: ac74c906-571e-85e3-cd0b-c1c6ca444318,</t>
  </si>
  <si>
    <t xml:space="preserve">    name: GLASSVIK,</t>
  </si>
  <si>
    <t xml:space="preserve">    category: Cabinets &amp; cupboards,</t>
  </si>
  <si>
    <t xml:space="preserve">    price: 175,</t>
  </si>
  <si>
    <t xml:space="preserve">    description: Glass door, 60x38 cm,</t>
  </si>
  <si>
    <t xml:space="preserve">    designer: IKEA of Sweden</t>
  </si>
  <si>
    <t xml:space="preserve">    GUID: b1b51428-6873-1892-950a-2e56a731c55c,</t>
  </si>
  <si>
    <t xml:space="preserve">    name: KALLAX,</t>
  </si>
  <si>
    <t xml:space="preserve">    price: 250,</t>
  </si>
  <si>
    <t xml:space="preserve">    description: Shelving unit, 77x147 cm,</t>
  </si>
  <si>
    <t xml:space="preserve">    designer: Tord Bjarklund</t>
  </si>
  <si>
    <t xml:space="preserve">    GUID: b9e23847-3fd8-6bab-c21a-396003e55b88,</t>
  </si>
  <si>
    <t xml:space="preserve">    name: EKET,</t>
  </si>
  <si>
    <t xml:space="preserve">    price: 311,</t>
  </si>
  <si>
    <t xml:space="preserve">    description: Cabinet combination with legs, 70x35x80 cm,</t>
  </si>
  <si>
    <t xml:space="preserve">    GUID: 1bb49345-a2ad-1764-3dc6-3219262c42bf,</t>
  </si>
  <si>
    <t xml:space="preserve">    name: IVAR,</t>
  </si>
  <si>
    <t xml:space="preserve">    price: 295,</t>
  </si>
  <si>
    <t xml:space="preserve">    description: Cabinet, 80x30x83 cm,</t>
  </si>
  <si>
    <t xml:space="preserve">    GUID: 624d3419-49a8-123b-de7c-3ef019ab7784,</t>
  </si>
  <si>
    <t xml:space="preserve">    name: LOMMARP,</t>
  </si>
  <si>
    <t xml:space="preserve">    price: 1116,</t>
  </si>
  <si>
    <t xml:space="preserve">    description: Cabinet with glass doors, 86x199 cm,</t>
  </si>
  <si>
    <t xml:space="preserve">    GUID: 260045d5-fe59-b6db-cc6c-01118c38e2a1,</t>
  </si>
  <si>
    <t xml:space="preserve">    name: DETOLF,</t>
  </si>
  <si>
    <t xml:space="preserve">    description: Glass-door cabinet, 43x163 cm,</t>
  </si>
  <si>
    <t xml:space="preserve">    GUID: 4fdcd87f-fb9f-16dd-4542-ed525e525fec,</t>
  </si>
  <si>
    <t xml:space="preserve">    price: 500,</t>
  </si>
  <si>
    <t xml:space="preserve">    description: Shelving unit with 4 inserts, 77x147 cm,</t>
  </si>
  <si>
    <t xml:space="preserve">    GUID: 1b8063e6-5053-72c0-73be-e8361549f26e,</t>
  </si>
  <si>
    <t xml:space="preserve">    name: BILLY / OXBERG,</t>
  </si>
  <si>
    <t xml:space="preserve">    price: 315,</t>
  </si>
  <si>
    <t xml:space="preserve">    description: Bookcase with doors, 80x30x106 cm,</t>
  </si>
  <si>
    <t xml:space="preserve">    designer: Gillis Lundgren</t>
  </si>
  <si>
    <t xml:space="preserve">    GUID: 36795daa-975d-4ee5-be92-f3d29f44ea51,</t>
  </si>
  <si>
    <t xml:space="preserve">    name: SYVDE,</t>
  </si>
  <si>
    <t xml:space="preserve">    description: Cabinet with glass doors, 100x123 cm,</t>
  </si>
  <si>
    <t xml:space="preserve">    GUID: 697320cd-1ddf-5a95-db5f-1eed588d1485,</t>
  </si>
  <si>
    <t xml:space="preserve">    price: 377,</t>
  </si>
  <si>
    <t xml:space="preserve">    description: Cabinet combination with feet, 70x25x107 cm,</t>
  </si>
  <si>
    <t xml:space="preserve">    GUID: fa79198c-d471-018d-1498-deba88a184ef,</t>
  </si>
  <si>
    <t xml:space="preserve">    category: Chairs,</t>
  </si>
  <si>
    <t xml:space="preserve">    description: Chair,</t>
  </si>
  <si>
    <t xml:space="preserve">    GUID: 9bd54fe9-d85b-19dd-c130-ba09a056c437,</t>
  </si>
  <si>
    <t xml:space="preserve">    name: KARLJAN,</t>
  </si>
  <si>
    <t xml:space="preserve">    price: 125,</t>
  </si>
  <si>
    <t xml:space="preserve">    GUID: e4213165-fdcd-9298-0114-76abdd7a75a5,</t>
  </si>
  <si>
    <t xml:space="preserve">    name: BLECKBERGET,</t>
  </si>
  <si>
    <t xml:space="preserve">    description: Swivel chair,</t>
  </si>
  <si>
    <t xml:space="preserve">    GUID: 6769c815-2918-25ef-f841-72bea3874047,</t>
  </si>
  <si>
    <t xml:space="preserve">    name: REMSTA,</t>
  </si>
  <si>
    <t xml:space="preserve">    description: Armchair,</t>
  </si>
  <si>
    <t xml:space="preserve">    GUID: a69c4057-b654-170e-c86f-a086886633dd,</t>
  </si>
  <si>
    <t xml:space="preserve">    name: STOCKSUND,</t>
  </si>
  <si>
    <t xml:space="preserve">    description: Bench,</t>
  </si>
  <si>
    <t xml:space="preserve">    designer: Nike Karlsson</t>
  </si>
  <si>
    <t xml:space="preserve">    GUID: ae5a7a1a-ad74-e20d-83ca-df938c684b11,</t>
  </si>
  <si>
    <t xml:space="preserve">    description: Stool,</t>
  </si>
  <si>
    <t xml:space="preserve">    GUID: 75dd7891-8fbf-c8b1-d2ff-58a532a7dce7,</t>
  </si>
  <si>
    <t xml:space="preserve">    name: FLINTAN,</t>
  </si>
  <si>
    <t xml:space="preserve">    price: 245,</t>
  </si>
  <si>
    <t xml:space="preserve">    description: Office chair,</t>
  </si>
  <si>
    <t xml:space="preserve">    GUID: f017451a-59c7-81b2-cdc0-87aaeed41d98,</t>
  </si>
  <si>
    <t xml:space="preserve">    name: IKEA PS GULLHOLMEN,</t>
  </si>
  <si>
    <t xml:space="preserve">    description: Rocking-chair,</t>
  </si>
  <si>
    <t xml:space="preserve">    designer: Maria Vinka</t>
  </si>
  <si>
    <t xml:space="preserve">    GUID: d0b90cb1-b127-2127-2ec3-76762d0df2f6,</t>
  </si>
  <si>
    <t xml:space="preserve">    name: MARKUS,</t>
  </si>
  <si>
    <t xml:space="preserve">    GUID: c8dab26b-6a08-4906-e295-f336e57236ef,</t>
  </si>
  <si>
    <t xml:space="preserve">    name: BEKVAM,</t>
  </si>
  <si>
    <t xml:space="preserve">    price: 59,</t>
  </si>
  <si>
    <t xml:space="preserve">    description: Step stool, 50 cm,</t>
  </si>
  <si>
    <t xml:space="preserve">    GUID: 34d8f0f3-1652-f249-d950-f2cda79f9ec3,</t>
  </si>
  <si>
    <t xml:space="preserve">    name: JONAXEL,</t>
  </si>
  <si>
    <t xml:space="preserve">    category: Chests of drawers &amp; drawer units,</t>
  </si>
  <si>
    <t xml:space="preserve">    price: 135,</t>
  </si>
  <si>
    <t xml:space="preserve">    description: Frame with mesh baskets, 25x51x70 cm,</t>
  </si>
  <si>
    <t xml:space="preserve">    GUID: 783cb406-038d-1125-a791-7242f7ee157c,</t>
  </si>
  <si>
    <t xml:space="preserve">    name: BRYGGJA,</t>
  </si>
  <si>
    <t xml:space="preserve">    price: 1295,</t>
  </si>
  <si>
    <t xml:space="preserve">    description: Chest of 9 drawers, 118x92 cm,</t>
  </si>
  <si>
    <t xml:space="preserve">    designer: Ola Wihlborg</t>
  </si>
  <si>
    <t xml:space="preserve">    GUID: 71000181-574d-df9e-ae13-9a0f18c74d49,</t>
  </si>
  <si>
    <t xml:space="preserve">    name: HELMER,</t>
  </si>
  <si>
    <t xml:space="preserve">    description: Drawer unit on castors, 28x69 cm,</t>
  </si>
  <si>
    <t xml:space="preserve">    GUID: b7f71334-9585-f357-1c0e-74887816e8b7,</t>
  </si>
  <si>
    <t xml:space="preserve">    name: PLATSA,</t>
  </si>
  <si>
    <t xml:space="preserve">    price: 443,</t>
  </si>
  <si>
    <t xml:space="preserve">    description: Chest of 2 drawers, 60x42x91 cm,</t>
  </si>
  <si>
    <t xml:space="preserve">    designer: IKEA of Sweden/Ola Wihlborg</t>
  </si>
  <si>
    <t xml:space="preserve">    GUID: ff3df96d-446b-48c6-5976-21c3bed56ab0,</t>
  </si>
  <si>
    <t xml:space="preserve">    name: LENNART,</t>
  </si>
  <si>
    <t xml:space="preserve">    price: 49,</t>
  </si>
  <si>
    <t xml:space="preserve">    description: Drawer unit,</t>
  </si>
  <si>
    <t xml:space="preserve">    GUID: d5172b57-f80f-c7e0-7a7b-6be8e4ac18f0,</t>
  </si>
  <si>
    <t xml:space="preserve">    name: MALM,</t>
  </si>
  <si>
    <t xml:space="preserve">    price: 555,</t>
  </si>
  <si>
    <t xml:space="preserve">    description: Chest of 6 drawers, 160x78 cm,</t>
  </si>
  <si>
    <t xml:space="preserve">    GUID: 90858ffa-a85f-292c-fc30-0e0ff690428d,</t>
  </si>
  <si>
    <t xml:space="preserve">    name: RAST,</t>
  </si>
  <si>
    <t xml:space="preserve">    price: 139,</t>
  </si>
  <si>
    <t xml:space="preserve">    description: Chest of 3 drawers, 62x70 cm,</t>
  </si>
  <si>
    <t xml:space="preserve">    GUID: c876e746-2451-c0ac-9a6d-040dd371793e,</t>
  </si>
  <si>
    <t xml:space="preserve">    name: SONGESAND,</t>
  </si>
  <si>
    <t xml:space="preserve">    price: 695,</t>
  </si>
  <si>
    <t xml:space="preserve">    description: Chest of 6 drawers, 161x81 cm,</t>
  </si>
  <si>
    <t xml:space="preserve">    GUID: 3590f6b0-d806-376b-4f6e-c145d5fbae4e,</t>
  </si>
  <si>
    <t xml:space="preserve">    description: Chest of 3 drawers, 80x78 cm,</t>
  </si>
  <si>
    <t xml:space="preserve">    GUID: bb405725-f3fa-f5db-215f-1068893f6daf,</t>
  </si>
  <si>
    <t xml:space="preserve">    name: KOPPANG,</t>
  </si>
  <si>
    <t xml:space="preserve">    price: 395,</t>
  </si>
  <si>
    <t xml:space="preserve">    description: Chest of 3 drawers, 90x83 cm,</t>
  </si>
  <si>
    <t xml:space="preserve">    GUID: 84152b58-8b87-31a0-5580-fd894be80e41,</t>
  </si>
  <si>
    <t xml:space="preserve">    category: Tables &amp; desks,</t>
  </si>
  <si>
    <t xml:space="preserve">    price: 101.5,</t>
  </si>
  <si>
    <t xml:space="preserve">    description: Side table, 66x32 cm,</t>
  </si>
  <si>
    <t xml:space="preserve">    GUID: a451fbc8-e82a-4af7-cb9e-d4bee9e12415,</t>
  </si>
  <si>
    <t xml:space="preserve">    name: STOCKHOLM,</t>
  </si>
  <si>
    <t xml:space="preserve">    description: Coffee table, 180x59 cm,</t>
  </si>
  <si>
    <t xml:space="preserve">    GUID: 056c5537-d7da-be46-b917-02a9d8605081,</t>
  </si>
  <si>
    <t xml:space="preserve">    name: ALEX,</t>
  </si>
  <si>
    <t xml:space="preserve">    price: 200,</t>
  </si>
  <si>
    <t xml:space="preserve">    description: Add-on unit, 120x10 cm,</t>
  </si>
  <si>
    <t xml:space="preserve">    designer: Johanna Asshoff</t>
  </si>
  <si>
    <t xml:space="preserve">    GUID: da5ba7f4-1a2d-99aa-7838-e04e0f27f829,</t>
  </si>
  <si>
    <t xml:space="preserve">    name: LINNMON / ALEX,</t>
  </si>
  <si>
    <t xml:space="preserve">    price: 550,</t>
  </si>
  <si>
    <t xml:space="preserve">    description: Table, 150x75 cm,</t>
  </si>
  <si>
    <t xml:space="preserve">    designer: IKEA of Sweden/Johanna Asshoff</t>
  </si>
  <si>
    <t xml:space="preserve">    GUID: 67f88f13-de43-7a28-5571-175b773f243c,</t>
  </si>
  <si>
    <t xml:space="preserve">    name: MELLTORP / ADDE,</t>
  </si>
  <si>
    <t xml:space="preserve">    price: 359,</t>
  </si>
  <si>
    <t xml:space="preserve">    description: Table and 4 chairs, 125 cm,</t>
  </si>
  <si>
    <t xml:space="preserve">    designer: Marcus Arvonen/Lisa Norinder</t>
  </si>
  <si>
    <t xml:space="preserve">    GUID: cf2ea24b-cb2b-7388-9118-d51044cd7db6,</t>
  </si>
  <si>
    <t xml:space="preserve">    description: Dressing table with mirror, 100x50 cm,</t>
  </si>
  <si>
    <t xml:space="preserve">    GUID: e1ed5665-38f3-10de-dd20-4fd6aa8118f5,</t>
  </si>
  <si>
    <t xml:space="preserve">    name: LINNMON / ADILS,</t>
  </si>
  <si>
    <t xml:space="preserve">    price: 300,</t>
  </si>
  <si>
    <t xml:space="preserve">    description: Table, 200x60 cm,</t>
  </si>
  <si>
    <t xml:space="preserve">    GUID: e3c1e74c-23e1-dbf9-30dc-b9e6d1b4277f,</t>
  </si>
  <si>
    <t xml:space="preserve">    description: Desk, 131x60 cm,</t>
  </si>
  <si>
    <t xml:space="preserve">    GUID: ef930011-8ad8-b1eb-38a3-3a70cf8036cd,</t>
  </si>
  <si>
    <t xml:space="preserve">    name: BURVIK,</t>
  </si>
  <si>
    <t xml:space="preserve">    description: Side table, 38 cm,</t>
  </si>
  <si>
    <t xml:space="preserve">    designer: Mikael Axelsson</t>
  </si>
  <si>
    <t xml:space="preserve">    GUID: e0f850c7-2688-9bc3-18d1-d66ff5c141e2,</t>
  </si>
  <si>
    <t xml:space="preserve">    name: LIATORP,</t>
  </si>
  <si>
    <t xml:space="preserve">    description: Console table, 133x37 cm,</t>
  </si>
  <si>
    <t xml:space="preserve">    GUID: 67fa35cc-8825-3082-604a-0491f39dcda1,</t>
  </si>
  <si>
    <t xml:space="preserve">    name: PAX / FORSAND/VIKEDAL,</t>
  </si>
  <si>
    <t xml:space="preserve">    category: Wardrobes,</t>
  </si>
  <si>
    <t xml:space="preserve">    description: Wardrobe combination, 150x60x201 cm,</t>
  </si>
  <si>
    <t xml:space="preserve">    designer: IKEA of Sweden/EhlÃ©n Johansson</t>
  </si>
  <si>
    <t xml:space="preserve">    GUID: 02f81586-659e-cfc6-3aaf-01194c0fc9d3,</t>
  </si>
  <si>
    <t xml:space="preserve">    price: 1259,</t>
  </si>
  <si>
    <t xml:space="preserve">    description: Wardrobe with 2 doors+3 drawers, 160x42x181 cm,</t>
  </si>
  <si>
    <t xml:space="preserve">    designer: Ola Wihlborg/IKEA of Sweden</t>
  </si>
  <si>
    <t xml:space="preserve">    GUID: ddd5629b-d202-ccbd-b66c-d1330162722b,</t>
  </si>
  <si>
    <t xml:space="preserve">    price: 892,</t>
  </si>
  <si>
    <t xml:space="preserve">    description: Wardrobe with 3 doors, 140x42x161 cm,</t>
  </si>
  <si>
    <t xml:space="preserve">    GUID: b0d68d70-819b-6a86-f05b-803c66500754,</t>
  </si>
  <si>
    <t xml:space="preserve">    name: KLEPPSTAD,</t>
  </si>
  <si>
    <t xml:space="preserve">    price: 449,</t>
  </si>
  <si>
    <t xml:space="preserve">    description: Wardrobe with 3 doors, 117x176 cm,</t>
  </si>
  <si>
    <t xml:space="preserve">    GUID: 9af15c25-efb7-b314-6b67-3abdaf00949d,</t>
  </si>
  <si>
    <t xml:space="preserve">    price: 645,</t>
  </si>
  <si>
    <t xml:space="preserve">    description: Wardrobe with 3 doors, 117x190 cm,</t>
  </si>
  <si>
    <t xml:space="preserve">    GUID: 36916091-6f73-3a2c-ef19-5a2903e812b3,</t>
  </si>
  <si>
    <t xml:space="preserve">    price: 349,</t>
  </si>
  <si>
    <t xml:space="preserve">    description: Wardrobe with 2 doors, 79x176 cm,</t>
  </si>
  <si>
    <t xml:space="preserve">    GUID: 0167d319-823d-faf3-78b8-cff389a91f77,</t>
  </si>
  <si>
    <t xml:space="preserve">    price: 2740,</t>
  </si>
  <si>
    <t xml:space="preserve">    description: Wardrobe with 7 doors+3 drawers, 240x57x221 cm,</t>
  </si>
  <si>
    <t xml:space="preserve">    GUID: b4ba2748-8f0e-3053-c0dc-ba84ffc27e2f,</t>
  </si>
  <si>
    <t xml:space="preserve">    name: VUKU,</t>
  </si>
  <si>
    <t xml:space="preserve">    description: Wardrobe, 74x51x149 cm,</t>
  </si>
  <si>
    <t xml:space="preserve">    designer: J Karlsson/W Chong</t>
  </si>
  <si>
    <t xml:space="preserve">    GUID: 42ee418f-4aee-91d7-40e9-866b5e6d45f8,</t>
  </si>
  <si>
    <t xml:space="preserve">    name: PAX,</t>
  </si>
  <si>
    <t xml:space="preserve">    price: 1510,</t>
  </si>
  <si>
    <t xml:space="preserve">    description: Wardrobe, 150x60x201 cm,</t>
  </si>
  <si>
    <t xml:space="preserve">    designer: Ehlaon Johansson/IKEA of Sweden</t>
  </si>
  <si>
    <t xml:space="preserve">    GUID: 6af52c3e-6c75-93c4-4e25-f57d7c474f26,</t>
  </si>
  <si>
    <t xml:space="preserve">    price: 475,</t>
  </si>
  <si>
    <t xml:space="preserve">    description: Wardrobe with 2 doors, 78x190 cm,</t>
  </si>
  <si>
    <t xml:space="preserve">  },</t>
  </si>
  <si>
    <t>];</t>
  </si>
  <si>
    <t xml:space="preserve">  }</t>
  </si>
  <si>
    <t>const productCount = products.length;</t>
  </si>
  <si>
    <t>module.exports = { products, productCount };</t>
  </si>
  <si>
    <t>Text</t>
  </si>
  <si>
    <t>colon</t>
  </si>
  <si>
    <t>property</t>
  </si>
  <si>
    <t>length</t>
  </si>
  <si>
    <t>value</t>
  </si>
  <si>
    <t>new value</t>
  </si>
  <si>
    <t>Col2</t>
  </si>
  <si>
    <t>Col1</t>
  </si>
  <si>
    <t>Col3</t>
  </si>
  <si>
    <t>Col4</t>
  </si>
  <si>
    <t>Col5</t>
  </si>
  <si>
    <t>Col6</t>
  </si>
  <si>
    <t xml:space="preserve">    guid: 'fd99387c-33d9-c78a-ba29-0286576ddce5',</t>
  </si>
  <si>
    <t xml:space="preserve">    name: 'FREKVENS',</t>
  </si>
  <si>
    <t xml:space="preserve">    category: 'Bar furniture',</t>
  </si>
  <si>
    <t xml:space="preserve">    price: '265',</t>
  </si>
  <si>
    <t xml:space="preserve">    description: 'Bar table, in/outdoor, 51x51 cm',</t>
  </si>
  <si>
    <t xml:space="preserve">    designer: 'Nicholai Wiig Hanse',</t>
  </si>
  <si>
    <t xml:space="preserve">    guid: '56d916ec-e6b5-0e62-9330-0248c6792316',</t>
  </si>
  <si>
    <t xml:space="preserve">    name: 'NORDVIKEN',</t>
  </si>
  <si>
    <t xml:space="preserve">    price: '995',</t>
  </si>
  <si>
    <t xml:space="preserve">    description: 'Bar table, 140x80 cm',</t>
  </si>
  <si>
    <t xml:space="preserve">    designer: 'Francis Cayouett',</t>
  </si>
  <si>
    <t xml:space="preserve">    guid: 'd9b1af94-4d49-41f6-5b2d-2d4ac160cdea',</t>
  </si>
  <si>
    <t xml:space="preserve">    name: 'NORDVIKEN / NORDVIKEN',</t>
  </si>
  <si>
    <t xml:space="preserve">    price: '2095',</t>
  </si>
  <si>
    <t xml:space="preserve">    description: 'Bar table and 4 bar stools',</t>
  </si>
  <si>
    <t xml:space="preserve">    guid: '467e51d7-1659-d2e4-12cb-c64a0d19ecb4',</t>
  </si>
  <si>
    <t xml:space="preserve">    name: 'STIG',</t>
  </si>
  <si>
    <t xml:space="preserve">    price: '69',</t>
  </si>
  <si>
    <t xml:space="preserve">    description: 'Bar stool with backrest, 74 cm',</t>
  </si>
  <si>
    <t xml:space="preserve">    designer: 'Henrik Preut',</t>
  </si>
  <si>
    <t xml:space="preserve">    guid: '655b86b4-3d2a-1bfd-387f-77b7f77ca6c1',</t>
  </si>
  <si>
    <t xml:space="preserve">    name: 'NORBERG',</t>
  </si>
  <si>
    <t xml:space="preserve">    price: '225',</t>
  </si>
  <si>
    <t xml:space="preserve">    description: 'Wall-mounted drop-leaf table, 74x60 cm',</t>
  </si>
  <si>
    <t xml:space="preserve">    designer: 'Marcus Arvone',</t>
  </si>
  <si>
    <t xml:space="preserve">    guid: '085ffadd-146b-fcfd-91e5-ca4e50e034c9',</t>
  </si>
  <si>
    <t xml:space="preserve">    name: 'INGOLF',</t>
  </si>
  <si>
    <t xml:space="preserve">    price: '345',</t>
  </si>
  <si>
    <t xml:space="preserve">    description: 'Bar stool with backrest, 63 cm',</t>
  </si>
  <si>
    <t xml:space="preserve">    designer: 'Carina Beng',</t>
  </si>
  <si>
    <t xml:space="preserve">    guid: 'b34cfdde-5b2b-6ecc-b205-b292f3778a1f',</t>
  </si>
  <si>
    <t xml:space="preserve">    name: 'FRANKLIN',</t>
  </si>
  <si>
    <t xml:space="preserve">    price: '129',</t>
  </si>
  <si>
    <t xml:space="preserve">    description: 'Bar stool with backrest, foldable, 63 cm',</t>
  </si>
  <si>
    <t xml:space="preserve">    designer: 'K Hagberg/M Hagber',</t>
  </si>
  <si>
    <t xml:space="preserve">    guid: '02e90226-87d1-3c2c-922d-43682e6b6a80',</t>
  </si>
  <si>
    <t xml:space="preserve">    name: 'DALFRED',</t>
  </si>
  <si>
    <t xml:space="preserve">    price: '195',</t>
  </si>
  <si>
    <t xml:space="preserve">    description: 'Bar stool, 63-74 cm',</t>
  </si>
  <si>
    <t xml:space="preserve">    designer: 'Sarah Fage',</t>
  </si>
  <si>
    <t xml:space="preserve">    guid: '71f8811f-fe2d-0608-24e4-aafe3c7c3d14',</t>
  </si>
  <si>
    <t xml:space="preserve">    guid: '003cfb2f-6e16-c274-fc0e-29c252101a96',</t>
  </si>
  <si>
    <t xml:space="preserve">    name: 'EKEDALEN / EKEDALEN',</t>
  </si>
  <si>
    <t xml:space="preserve">    price: '2176',</t>
  </si>
  <si>
    <t xml:space="preserve">    designer: 'EhlÃ©n Johansso',</t>
  </si>
  <si>
    <t xml:space="preserve">    guid: 'a78f0737-89cc-0f8a-9a0d-e8c6e273eab1',</t>
  </si>
  <si>
    <t xml:space="preserve">    name: 'BRIMNES',</t>
  </si>
  <si>
    <t xml:space="preserve">    category: 'Beds',</t>
  </si>
  <si>
    <t xml:space="preserve">    price: '795',</t>
  </si>
  <si>
    <t xml:space="preserve">    description: 'Bed frame w storage and headboard, 140x200 cm',</t>
  </si>
  <si>
    <t xml:space="preserve">    designer: 'K Hagberg/M Hagberg/IKEA of Swede',</t>
  </si>
  <si>
    <t xml:space="preserve">    guid: '1442e20e-80ea-aaea-6c88-2006fb5aab51',</t>
  </si>
  <si>
    <t xml:space="preserve">    name: 'NEIDEN',</t>
  </si>
  <si>
    <t xml:space="preserve">    price: '99',</t>
  </si>
  <si>
    <t xml:space="preserve">    description: 'Bed frame, 90x200 cm',</t>
  </si>
  <si>
    <t xml:space="preserve">    designer: 'Jon Karlsso',</t>
  </si>
  <si>
    <t xml:space="preserve">    guid: '89f5aff1-e712-49f5-5e15-cff7c7645586',</t>
  </si>
  <si>
    <t xml:space="preserve">    name: 'LEIRVIK',</t>
  </si>
  <si>
    <t xml:space="preserve">    price: '1195',</t>
  </si>
  <si>
    <t xml:space="preserve">    description: 'Bed frame, 180x200 cm',</t>
  </si>
  <si>
    <t xml:space="preserve">    designer: 'IKEA of Sweden/Carina Beng',</t>
  </si>
  <si>
    <t xml:space="preserve">    guid: '51148054-1df2-9f84-4d39-e4a81cf67b54',</t>
  </si>
  <si>
    <t xml:space="preserve">    price: '199',</t>
  </si>
  <si>
    <t xml:space="preserve">    description: 'Bed frame, 140x200 cm',</t>
  </si>
  <si>
    <t xml:space="preserve">    guid: 'a2d45cb9-d09d-ba7a-96f6-56c1a34060e9',</t>
  </si>
  <si>
    <t xml:space="preserve">    name: 'HEMNES',</t>
  </si>
  <si>
    <t xml:space="preserve">    price: '675',</t>
  </si>
  <si>
    <t xml:space="preserve">    guid: 'f72475e8-f0e0-f5c8-54c6-0d9d186c7192',</t>
  </si>
  <si>
    <t xml:space="preserve">    name: 'SLATTUM',</t>
  </si>
  <si>
    <t xml:space="preserve">    price: '595',</t>
  </si>
  <si>
    <t xml:space="preserve">    description: 'Upholstered bed frame, 140x200 cm',</t>
  </si>
  <si>
    <t xml:space="preserve">    designer: 'David Wah',</t>
  </si>
  <si>
    <t xml:space="preserve">    guid: '2f37aa0c-f1ef-f848-9a93-5be24fabb39a',</t>
  </si>
  <si>
    <t xml:space="preserve">    designer: 'Jon Karlsson/IKEA of Swede',</t>
  </si>
  <si>
    <t xml:space="preserve">    guid: 'fa5de624-bd79-ad74-4724-929e6b7157fc',</t>
  </si>
  <si>
    <t xml:space="preserve">    name: 'SAGSTUA',</t>
  </si>
  <si>
    <t xml:space="preserve">    price: '545',</t>
  </si>
  <si>
    <t xml:space="preserve">    designer: 'IKEA of Sweden/Paulin Machad',</t>
  </si>
  <si>
    <t xml:space="preserve">    guid: '96c56ab6-e5ff-b0b1-03d9-a36b5f92fe7a',</t>
  </si>
  <si>
    <t xml:space="preserve">    price: '575',</t>
  </si>
  <si>
    <t xml:space="preserve">    description: 'Bed frame with storage, 90x200 cm',</t>
  </si>
  <si>
    <t xml:space="preserve">    guid: '534e5402-e20c-0ef2-6cbf-149c70d9ed40',</t>
  </si>
  <si>
    <t xml:space="preserve">    name: 'ASKVOLL',</t>
  </si>
  <si>
    <t xml:space="preserve">    price: '445',</t>
  </si>
  <si>
    <t xml:space="preserve">    designer: 'IKEA of Sweden/K Hagberg/M Hagber',</t>
  </si>
  <si>
    <t xml:space="preserve">    guid: '98f75cab-7289-50e3-0121-b1daba2395b8',</t>
  </si>
  <si>
    <t xml:space="preserve">    guid: '4efd05fa-24d6-0142-722f-b12a15eec8d9',</t>
  </si>
  <si>
    <t xml:space="preserve">    guid: '662fe320-734a-dcc7-5909-1c83ce35e59a',</t>
  </si>
  <si>
    <t xml:space="preserve">    guid: 'aeaaab1a-ee7b-11fb-a76d-3d450a3061fc',</t>
  </si>
  <si>
    <t xml:space="preserve">    guid: '3dd3234b-a165-6c97-e7ce-6ebb2b8858f6',</t>
  </si>
  <si>
    <t xml:space="preserve">    guid: '55b3a22e-bbdf-96d8-4f18-ab26263fd836',</t>
  </si>
  <si>
    <t xml:space="preserve">    guid: '2a0a0f79-d58c-c17f-2d0a-9674bacfface',</t>
  </si>
  <si>
    <t xml:space="preserve">    guid: '448fa9ea-c3b9-bc75-0d24-0948b18b6a54',</t>
  </si>
  <si>
    <t xml:space="preserve">    guid: '8578cafd-d7af-95da-927a-8c5af2179671',</t>
  </si>
  <si>
    <t xml:space="preserve">    guid: '9c076b30-5ecc-3c5b-2293-4f78cdbeaf21',</t>
  </si>
  <si>
    <t xml:space="preserve">    guid: 'ac74c906-571e-85e3-cd0b-c1c6ca444318',</t>
  </si>
  <si>
    <t xml:space="preserve">    name: 'GLASSVIK',</t>
  </si>
  <si>
    <t xml:space="preserve">    category: 'Cabinets &amp; cupboards',</t>
  </si>
  <si>
    <t xml:space="preserve">    price: '175',</t>
  </si>
  <si>
    <t xml:space="preserve">    description: 'Glass door, 60x38 cm',</t>
  </si>
  <si>
    <t xml:space="preserve">    designer: 'IKEA of Swede',</t>
  </si>
  <si>
    <t xml:space="preserve">    guid: 'b1b51428-6873-1892-950a-2e56a731c55c',</t>
  </si>
  <si>
    <t xml:space="preserve">    name: 'KALLAX',</t>
  </si>
  <si>
    <t xml:space="preserve">    price: '250',</t>
  </si>
  <si>
    <t xml:space="preserve">    description: 'Shelving unit, 77x147 cm',</t>
  </si>
  <si>
    <t xml:space="preserve">    designer: 'Tord Bjarklun',</t>
  </si>
  <si>
    <t xml:space="preserve">    guid: 'b9e23847-3fd8-6bab-c21a-396003e55b88',</t>
  </si>
  <si>
    <t xml:space="preserve">    name: 'EKET',</t>
  </si>
  <si>
    <t xml:space="preserve">    price: '311',</t>
  </si>
  <si>
    <t xml:space="preserve">    description: 'Cabinet combination with legs, 70x35x80 cm',</t>
  </si>
  <si>
    <t xml:space="preserve">    guid: '1bb49345-a2ad-1764-3dc6-3219262c42bf',</t>
  </si>
  <si>
    <t xml:space="preserve">    name: 'IVAR',</t>
  </si>
  <si>
    <t xml:space="preserve">    price: '295',</t>
  </si>
  <si>
    <t xml:space="preserve">    description: 'Cabinet, 80x30x83 cm',</t>
  </si>
  <si>
    <t xml:space="preserve">    guid: '624d3419-49a8-123b-de7c-3ef019ab7784',</t>
  </si>
  <si>
    <t xml:space="preserve">    name: 'LOMMARP',</t>
  </si>
  <si>
    <t xml:space="preserve">    price: '1116',</t>
  </si>
  <si>
    <t xml:space="preserve">    description: 'Cabinet with glass doors, 86x199 cm',</t>
  </si>
  <si>
    <t xml:space="preserve">    guid: '260045d5-fe59-b6db-cc6c-01118c38e2a1',</t>
  </si>
  <si>
    <t xml:space="preserve">    name: 'DETOLF',</t>
  </si>
  <si>
    <t xml:space="preserve">    description: 'Glass-door cabinet, 43x163 cm',</t>
  </si>
  <si>
    <t xml:space="preserve">    guid: '4fdcd87f-fb9f-16dd-4542-ed525e525fec',</t>
  </si>
  <si>
    <t xml:space="preserve">    price: '500',</t>
  </si>
  <si>
    <t xml:space="preserve">    description: 'Shelving unit with 4 inserts, 77x147 cm',</t>
  </si>
  <si>
    <t xml:space="preserve">    guid: '1b8063e6-5053-72c0-73be-e8361549f26e',</t>
  </si>
  <si>
    <t xml:space="preserve">    name: 'BILLY / OXBERG',</t>
  </si>
  <si>
    <t xml:space="preserve">    price: '315',</t>
  </si>
  <si>
    <t xml:space="preserve">    description: 'Bookcase with doors, 80x30x106 cm',</t>
  </si>
  <si>
    <t xml:space="preserve">    designer: 'Gillis Lundgre',</t>
  </si>
  <si>
    <t xml:space="preserve">    guid: '36795daa-975d-4ee5-be92-f3d29f44ea51',</t>
  </si>
  <si>
    <t xml:space="preserve">    name: 'SYVDE',</t>
  </si>
  <si>
    <t xml:space="preserve">    description: 'Cabinet with glass doors, 100x123 cm',</t>
  </si>
  <si>
    <t xml:space="preserve">    guid: '697320cd-1ddf-5a95-db5f-1eed588d1485',</t>
  </si>
  <si>
    <t xml:space="preserve">    price: '377',</t>
  </si>
  <si>
    <t xml:space="preserve">    description: 'Cabinet combination with feet, 70x25x107 cm',</t>
  </si>
  <si>
    <t xml:space="preserve">    guid: 'fa79198c-d471-018d-1498-deba88a184ef',</t>
  </si>
  <si>
    <t xml:space="preserve">    category: 'Chairs',</t>
  </si>
  <si>
    <t xml:space="preserve">    description: 'Chair',</t>
  </si>
  <si>
    <t xml:space="preserve">    guid: '9bd54fe9-d85b-19dd-c130-ba09a056c437',</t>
  </si>
  <si>
    <t xml:space="preserve">    name: 'KARLJAN',</t>
  </si>
  <si>
    <t xml:space="preserve">    price: '125',</t>
  </si>
  <si>
    <t xml:space="preserve">    guid: 'e4213165-fdcd-9298-0114-76abdd7a75a5',</t>
  </si>
  <si>
    <t xml:space="preserve">    name: 'BLECKBERGET',</t>
  </si>
  <si>
    <t xml:space="preserve">    description: 'Swivel chair',</t>
  </si>
  <si>
    <t xml:space="preserve">    guid: '6769c815-2918-25ef-f841-72bea3874047',</t>
  </si>
  <si>
    <t xml:space="preserve">    name: 'REMSTA',</t>
  </si>
  <si>
    <t xml:space="preserve">    description: 'Armchair',</t>
  </si>
  <si>
    <t xml:space="preserve">    guid: 'a69c4057-b654-170e-c86f-a086886633dd',</t>
  </si>
  <si>
    <t xml:space="preserve">    name: 'STOCKSUND',</t>
  </si>
  <si>
    <t xml:space="preserve">    description: 'Bench',</t>
  </si>
  <si>
    <t xml:space="preserve">    designer: 'Nike Karlsso',</t>
  </si>
  <si>
    <t xml:space="preserve">    guid: 'ae5a7a1a-ad74-e20d-83ca-df938c684b11',</t>
  </si>
  <si>
    <t xml:space="preserve">    description: 'Stool',</t>
  </si>
  <si>
    <t xml:space="preserve">    guid: '75dd7891-8fbf-c8b1-d2ff-58a532a7dce7',</t>
  </si>
  <si>
    <t xml:space="preserve">    name: 'FLINTAN',</t>
  </si>
  <si>
    <t xml:space="preserve">    price: '245',</t>
  </si>
  <si>
    <t xml:space="preserve">    description: 'Office chair',</t>
  </si>
  <si>
    <t xml:space="preserve">    guid: 'f017451a-59c7-81b2-cdc0-87aaeed41d98',</t>
  </si>
  <si>
    <t xml:space="preserve">    name: 'IKEA PS GULLHOLMEN',</t>
  </si>
  <si>
    <t xml:space="preserve">    description: 'Rocking-chair',</t>
  </si>
  <si>
    <t xml:space="preserve">    designer: 'Maria Vink',</t>
  </si>
  <si>
    <t xml:space="preserve">    guid: 'd0b90cb1-b127-2127-2ec3-76762d0df2f6',</t>
  </si>
  <si>
    <t xml:space="preserve">    name: 'MARKUS',</t>
  </si>
  <si>
    <t xml:space="preserve">    guid: 'c8dab26b-6a08-4906-e295-f336e57236ef',</t>
  </si>
  <si>
    <t xml:space="preserve">    name: 'BEKVAM',</t>
  </si>
  <si>
    <t xml:space="preserve">    price: '59',</t>
  </si>
  <si>
    <t xml:space="preserve">    description: 'Step stool, 50 cm',</t>
  </si>
  <si>
    <t xml:space="preserve">    guid: '34d8f0f3-1652-f249-d950-f2cda79f9ec3',</t>
  </si>
  <si>
    <t xml:space="preserve">    name: 'JONAXEL',</t>
  </si>
  <si>
    <t xml:space="preserve">    category: 'Chests of drawers &amp; drawer units',</t>
  </si>
  <si>
    <t xml:space="preserve">    price: '135',</t>
  </si>
  <si>
    <t xml:space="preserve">    description: 'Frame with mesh baskets, 25x51x70 cm',</t>
  </si>
  <si>
    <t xml:space="preserve">    guid: '783cb406-038d-1125-a791-7242f7ee157c',</t>
  </si>
  <si>
    <t xml:space="preserve">    name: 'BRYGGJA',</t>
  </si>
  <si>
    <t xml:space="preserve">    price: '1295',</t>
  </si>
  <si>
    <t xml:space="preserve">    description: 'Chest of 9 drawers, 118x92 cm',</t>
  </si>
  <si>
    <t xml:space="preserve">    designer: 'Ola Wihlbor',</t>
  </si>
  <si>
    <t xml:space="preserve">    guid: '71000181-574d-df9e-ae13-9a0f18c74d49',</t>
  </si>
  <si>
    <t xml:space="preserve">    name: 'HELMER',</t>
  </si>
  <si>
    <t xml:space="preserve">    description: 'Drawer unit on castors, 28x69 cm',</t>
  </si>
  <si>
    <t xml:space="preserve">    guid: 'b7f71334-9585-f357-1c0e-74887816e8b7',</t>
  </si>
  <si>
    <t xml:space="preserve">    name: 'PLATSA',</t>
  </si>
  <si>
    <t xml:space="preserve">    price: '443',</t>
  </si>
  <si>
    <t xml:space="preserve">    description: 'Chest of 2 drawers, 60x42x91 cm',</t>
  </si>
  <si>
    <t xml:space="preserve">    designer: 'IKEA of Sweden/Ola Wihlbor',</t>
  </si>
  <si>
    <t xml:space="preserve">    guid: 'ff3df96d-446b-48c6-5976-21c3bed56ab0',</t>
  </si>
  <si>
    <t xml:space="preserve">    name: 'LENNART',</t>
  </si>
  <si>
    <t xml:space="preserve">    price: '49',</t>
  </si>
  <si>
    <t xml:space="preserve">    description: 'Drawer unit',</t>
  </si>
  <si>
    <t xml:space="preserve">    guid: 'd5172b57-f80f-c7e0-7a7b-6be8e4ac18f0',</t>
  </si>
  <si>
    <t xml:space="preserve">    name: 'MALM',</t>
  </si>
  <si>
    <t xml:space="preserve">    price: '555',</t>
  </si>
  <si>
    <t xml:space="preserve">    description: 'Chest of 6 drawers, 160x78 cm',</t>
  </si>
  <si>
    <t xml:space="preserve">    guid: '90858ffa-a85f-292c-fc30-0e0ff690428d',</t>
  </si>
  <si>
    <t xml:space="preserve">    name: 'RAST',</t>
  </si>
  <si>
    <t xml:space="preserve">    price: '139',</t>
  </si>
  <si>
    <t xml:space="preserve">    description: 'Chest of 3 drawers, 62x70 cm',</t>
  </si>
  <si>
    <t xml:space="preserve">    guid: 'c876e746-2451-c0ac-9a6d-040dd371793e',</t>
  </si>
  <si>
    <t xml:space="preserve">    name: 'SONGESAND',</t>
  </si>
  <si>
    <t xml:space="preserve">    price: '695',</t>
  </si>
  <si>
    <t xml:space="preserve">    description: 'Chest of 6 drawers, 161x81 cm',</t>
  </si>
  <si>
    <t xml:space="preserve">    guid: '3590f6b0-d806-376b-4f6e-c145d5fbae4e',</t>
  </si>
  <si>
    <t xml:space="preserve">    description: 'Chest of 3 drawers, 80x78 cm',</t>
  </si>
  <si>
    <t xml:space="preserve">    guid: 'bb405725-f3fa-f5db-215f-1068893f6daf',</t>
  </si>
  <si>
    <t xml:space="preserve">    name: 'KOPPANG',</t>
  </si>
  <si>
    <t xml:space="preserve">    price: '395',</t>
  </si>
  <si>
    <t xml:space="preserve">    description: 'Chest of 3 drawers, 90x83 cm',</t>
  </si>
  <si>
    <t xml:space="preserve">    guid: '84152b58-8b87-31a0-5580-fd894be80e41',</t>
  </si>
  <si>
    <t xml:space="preserve">    category: 'Tables &amp; desks',</t>
  </si>
  <si>
    <t xml:space="preserve">    price: '101.5',</t>
  </si>
  <si>
    <t xml:space="preserve">    description: 'Side table, 66x32 cm',</t>
  </si>
  <si>
    <t xml:space="preserve">    guid: 'a451fbc8-e82a-4af7-cb9e-d4bee9e12415',</t>
  </si>
  <si>
    <t xml:space="preserve">    name: 'STOCKHOLM',</t>
  </si>
  <si>
    <t xml:space="preserve">    description: 'Coffee table, 180x59 cm',</t>
  </si>
  <si>
    <t xml:space="preserve">    guid: '056c5537-d7da-be46-b917-02a9d8605081',</t>
  </si>
  <si>
    <t xml:space="preserve">    name: 'ALEX',</t>
  </si>
  <si>
    <t xml:space="preserve">    price: '200',</t>
  </si>
  <si>
    <t xml:space="preserve">    description: 'Add-on unit, 120x10 cm',</t>
  </si>
  <si>
    <t xml:space="preserve">    designer: 'Johanna Asshof',</t>
  </si>
  <si>
    <t xml:space="preserve">    guid: 'da5ba7f4-1a2d-99aa-7838-e04e0f27f829',</t>
  </si>
  <si>
    <t xml:space="preserve">    name: 'LINNMON / ALEX',</t>
  </si>
  <si>
    <t xml:space="preserve">    price: '550',</t>
  </si>
  <si>
    <t xml:space="preserve">    description: 'Table, 150x75 cm',</t>
  </si>
  <si>
    <t xml:space="preserve">    designer: 'IKEA of Sweden/Johanna Asshof',</t>
  </si>
  <si>
    <t xml:space="preserve">    guid: '67f88f13-de43-7a28-5571-175b773f243c',</t>
  </si>
  <si>
    <t xml:space="preserve">    name: 'MELLTORP / ADDE',</t>
  </si>
  <si>
    <t xml:space="preserve">    price: '359',</t>
  </si>
  <si>
    <t xml:space="preserve">    description: 'Table and 4 chairs, 125 cm',</t>
  </si>
  <si>
    <t xml:space="preserve">    designer: 'Marcus Arvonen/Lisa Norinde',</t>
  </si>
  <si>
    <t xml:space="preserve">    guid: 'cf2ea24b-cb2b-7388-9118-d51044cd7db6',</t>
  </si>
  <si>
    <t xml:space="preserve">    description: 'Dressing table with mirror, 100x50 cm',</t>
  </si>
  <si>
    <t xml:space="preserve">    guid: 'e1ed5665-38f3-10de-dd20-4fd6aa8118f5',</t>
  </si>
  <si>
    <t xml:space="preserve">    name: 'LINNMON / ADILS',</t>
  </si>
  <si>
    <t xml:space="preserve">    price: '300',</t>
  </si>
  <si>
    <t xml:space="preserve">    description: 'Table, 200x60 cm',</t>
  </si>
  <si>
    <t xml:space="preserve">    guid: 'e3c1e74c-23e1-dbf9-30dc-b9e6d1b4277f',</t>
  </si>
  <si>
    <t xml:space="preserve">    description: 'Desk, 131x60 cm',</t>
  </si>
  <si>
    <t xml:space="preserve">    guid: 'ef930011-8ad8-b1eb-38a3-3a70cf8036cd',</t>
  </si>
  <si>
    <t xml:space="preserve">    name: 'BURVIK',</t>
  </si>
  <si>
    <t xml:space="preserve">    description: 'Side table, 38 cm',</t>
  </si>
  <si>
    <t xml:space="preserve">    designer: 'Mikael Axelsso',</t>
  </si>
  <si>
    <t xml:space="preserve">    guid: 'e0f850c7-2688-9bc3-18d1-d66ff5c141e2',</t>
  </si>
  <si>
    <t xml:space="preserve">    name: 'LIATORP',</t>
  </si>
  <si>
    <t xml:space="preserve">    description: 'Console table, 133x37 cm',</t>
  </si>
  <si>
    <t xml:space="preserve">    guid: '67fa35cc-8825-3082-604a-0491f39dcda1',</t>
  </si>
  <si>
    <t xml:space="preserve">    name: 'PAX / FORSAND/VIKEDAL',</t>
  </si>
  <si>
    <t xml:space="preserve">    category: 'Wardrobes',</t>
  </si>
  <si>
    <t xml:space="preserve">    description: 'Wardrobe combination, 150x60x201 cm',</t>
  </si>
  <si>
    <t xml:space="preserve">    designer: 'IKEA of Sweden/EhlÃ©n Johansso',</t>
  </si>
  <si>
    <t xml:space="preserve">    guid: '02f81586-659e-cfc6-3aaf-01194c0fc9d3',</t>
  </si>
  <si>
    <t xml:space="preserve">    price: '1259',</t>
  </si>
  <si>
    <t xml:space="preserve">    description: 'Wardrobe with 2 doors+3 drawers, 160x42x181 cm',</t>
  </si>
  <si>
    <t xml:space="preserve">    designer: 'Ola Wihlborg/IKEA of Swede',</t>
  </si>
  <si>
    <t xml:space="preserve">    guid: 'ddd5629b-d202-ccbd-b66c-d1330162722b',</t>
  </si>
  <si>
    <t xml:space="preserve">    price: '892',</t>
  </si>
  <si>
    <t xml:space="preserve">    description: 'Wardrobe with 3 doors, 140x42x161 cm',</t>
  </si>
  <si>
    <t xml:space="preserve">    guid: 'b0d68d70-819b-6a86-f05b-803c66500754',</t>
  </si>
  <si>
    <t xml:space="preserve">    name: 'KLEPPSTAD',</t>
  </si>
  <si>
    <t xml:space="preserve">    price: '449',</t>
  </si>
  <si>
    <t xml:space="preserve">    description: 'Wardrobe with 3 doors, 117x176 cm',</t>
  </si>
  <si>
    <t xml:space="preserve">    guid: '9af15c25-efb7-b314-6b67-3abdaf00949d',</t>
  </si>
  <si>
    <t xml:space="preserve">    price: '645',</t>
  </si>
  <si>
    <t xml:space="preserve">    description: 'Wardrobe with 3 doors, 117x190 cm',</t>
  </si>
  <si>
    <t xml:space="preserve">    guid: '36916091-6f73-3a2c-ef19-5a2903e812b3',</t>
  </si>
  <si>
    <t xml:space="preserve">    price: '349',</t>
  </si>
  <si>
    <t xml:space="preserve">    description: 'Wardrobe with 2 doors, 79x176 cm',</t>
  </si>
  <si>
    <t xml:space="preserve">    guid: '0167d319-823d-faf3-78b8-cff389a91f77',</t>
  </si>
  <si>
    <t xml:space="preserve">    price: '2740',</t>
  </si>
  <si>
    <t xml:space="preserve">    description: 'Wardrobe with 7 doors+3 drawers, 240x57x221 cm',</t>
  </si>
  <si>
    <t xml:space="preserve">    guid: 'b4ba2748-8f0e-3053-c0dc-ba84ffc27e2f',</t>
  </si>
  <si>
    <t xml:space="preserve">    name: 'VUKU',</t>
  </si>
  <si>
    <t xml:space="preserve">    description: 'Wardrobe, 74x51x149 cm',</t>
  </si>
  <si>
    <t xml:space="preserve">    designer: 'J Karlsson/W Chon',</t>
  </si>
  <si>
    <t xml:space="preserve">    guid: '42ee418f-4aee-91d7-40e9-866b5e6d45f8',</t>
  </si>
  <si>
    <t xml:space="preserve">    name: 'PAX',</t>
  </si>
  <si>
    <t xml:space="preserve">    price: '1510',</t>
  </si>
  <si>
    <t xml:space="preserve">    description: 'Wardrobe, 150x60x201 cm',</t>
  </si>
  <si>
    <t xml:space="preserve">    designer: 'Ehlaon Johansson/IKEA of Swede',</t>
  </si>
  <si>
    <t xml:space="preserve">    guid: '6af52c3e-6c75-93c4-4e25-f57d7c474f26',</t>
  </si>
  <si>
    <t xml:space="preserve">    price: '475',</t>
  </si>
  <si>
    <t xml:space="preserve">    description: 'Wardrobe with 2 doors, 78x190 cm',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</si>
</sst>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474D3-0701-437A-8F4E-F9C2C42B7F51}">
  <sheetPr codeName="Sheet1"/>
  <dimension ref="A1:N81"/>
  <sheetViews>
    <sheetView topLeftCell="E43" workbookViewId="0">
      <selection activeCell="G2" sqref="G2:N81"/>
    </sheetView>
  </sheetViews>
  <sheetFormatPr defaultRowHeight="15" x14ac:dyDescent="0.25"/>
  <cols>
    <col min="1" max="1" width="37.42578125" customWidth="1"/>
    <col min="2" max="2" width="24.5703125" bestFit="1" customWidth="1"/>
    <col min="3" max="3" width="30.85546875" bestFit="1" customWidth="1"/>
    <col min="4" max="4" width="5.7109375" customWidth="1"/>
    <col min="5" max="5" width="45.85546875" bestFit="1" customWidth="1"/>
    <col min="6" max="6" width="35.7109375" bestFit="1" customWidth="1"/>
    <col min="7" max="7" width="1.7109375" bestFit="1" customWidth="1"/>
    <col min="8" max="8" width="44.85546875" bestFit="1" customWidth="1"/>
    <col min="9" max="9" width="18.5703125" bestFit="1" customWidth="1"/>
    <col min="10" max="10" width="23.5703125" bestFit="1" customWidth="1"/>
    <col min="13" max="13" width="30.85546875" bestFit="1" customWidth="1"/>
    <col min="14" max="14" width="2.28515625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14" x14ac:dyDescent="0.25">
      <c r="A2" t="s">
        <v>157</v>
      </c>
      <c r="B2" t="s">
        <v>6</v>
      </c>
      <c r="C2" t="s">
        <v>7</v>
      </c>
      <c r="D2">
        <v>265</v>
      </c>
      <c r="E2" t="s">
        <v>95</v>
      </c>
      <c r="F2" t="s">
        <v>8</v>
      </c>
      <c r="G2" t="s">
        <v>239</v>
      </c>
      <c r="H2" t="str">
        <f>_xlfn.CONCAT("    ",$A$1,":"," ",A2,",")</f>
        <v xml:space="preserve">    GUID: fd99387c-33d9-c78a-ba29-0286576ddce5,</v>
      </c>
      <c r="I2" t="str">
        <f>_xlfn.CONCAT("    ",$B$1,":"," ",B2,",")</f>
        <v xml:space="preserve">    name: FREKVENS,</v>
      </c>
      <c r="J2" t="str">
        <f>_xlfn.CONCAT("    ",$C$1,":"," ",C2,",")</f>
        <v xml:space="preserve">    category: Bar furniture,</v>
      </c>
      <c r="K2" t="str">
        <f>_xlfn.CONCAT("    ",$D$1,":"," ",D2,",")</f>
        <v xml:space="preserve">    price: 265,</v>
      </c>
      <c r="L2" t="str">
        <f>_xlfn.CONCAT("    ",$E$1,":"," ",E2,",")</f>
        <v xml:space="preserve">    description: Bar table, in/outdoor, 51x51 cm,</v>
      </c>
      <c r="M2" t="str">
        <f>_xlfn.CONCAT("    ",$F$1,":"," ",F2)</f>
        <v xml:space="preserve">    designer: Nicholai Wiig Hansen</v>
      </c>
      <c r="N2" t="s">
        <v>240</v>
      </c>
    </row>
    <row r="3" spans="1:14" x14ac:dyDescent="0.25">
      <c r="A3" t="s">
        <v>158</v>
      </c>
      <c r="B3" t="s">
        <v>9</v>
      </c>
      <c r="C3" t="s">
        <v>7</v>
      </c>
      <c r="D3">
        <v>995</v>
      </c>
      <c r="E3" t="s">
        <v>96</v>
      </c>
      <c r="F3" t="s">
        <v>10</v>
      </c>
      <c r="G3" t="s">
        <v>239</v>
      </c>
      <c r="H3" t="str">
        <f t="shared" ref="H3:H66" si="0">_xlfn.CONCAT("    ",$A$1,":"," ",A3,",")</f>
        <v xml:space="preserve">    GUID: 56d916ec-e6b5-0e62-9330-0248c6792316,</v>
      </c>
      <c r="I3" t="str">
        <f t="shared" ref="I3:I66" si="1">_xlfn.CONCAT("    ",$B$1,":"," ",B3,",")</f>
        <v xml:space="preserve">    name: NORDVIKEN,</v>
      </c>
      <c r="J3" t="str">
        <f t="shared" ref="J3:J66" si="2">_xlfn.CONCAT("    ",$C$1,":"," ",C3,",")</f>
        <v xml:space="preserve">    category: Bar furniture,</v>
      </c>
      <c r="K3" t="str">
        <f t="shared" ref="K3:K66" si="3">_xlfn.CONCAT("    ",$D$1,":"," ",D3,",")</f>
        <v xml:space="preserve">    price: 995,</v>
      </c>
      <c r="L3" t="str">
        <f t="shared" ref="L3:L66" si="4">_xlfn.CONCAT("    ",$E$1,":"," ",E3,",")</f>
        <v xml:space="preserve">    description: Bar table, 140x80 cm,</v>
      </c>
      <c r="M3" t="str">
        <f t="shared" ref="M3:M66" si="5">_xlfn.CONCAT("    ",$F$1,":"," ",F3)</f>
        <v xml:space="preserve">    designer: Francis Cayouette</v>
      </c>
      <c r="N3" t="s">
        <v>240</v>
      </c>
    </row>
    <row r="4" spans="1:14" x14ac:dyDescent="0.25">
      <c r="A4" t="s">
        <v>159</v>
      </c>
      <c r="B4" t="s">
        <v>11</v>
      </c>
      <c r="C4" t="s">
        <v>7</v>
      </c>
      <c r="D4">
        <v>2095</v>
      </c>
      <c r="E4" t="s">
        <v>97</v>
      </c>
      <c r="F4" t="s">
        <v>10</v>
      </c>
      <c r="G4" t="s">
        <v>239</v>
      </c>
      <c r="H4" t="str">
        <f t="shared" si="0"/>
        <v xml:space="preserve">    GUID: d9b1af94-4d49-41f6-5b2d-2d4ac160cdea,</v>
      </c>
      <c r="I4" t="str">
        <f t="shared" si="1"/>
        <v xml:space="preserve">    name: NORDVIKEN / NORDVIKEN,</v>
      </c>
      <c r="J4" t="str">
        <f t="shared" si="2"/>
        <v xml:space="preserve">    category: Bar furniture,</v>
      </c>
      <c r="K4" t="str">
        <f t="shared" si="3"/>
        <v xml:space="preserve">    price: 2095,</v>
      </c>
      <c r="L4" t="str">
        <f t="shared" si="4"/>
        <v xml:space="preserve">    description: Bar table and 4 bar stools,</v>
      </c>
      <c r="M4" t="str">
        <f t="shared" si="5"/>
        <v xml:space="preserve">    designer: Francis Cayouette</v>
      </c>
      <c r="N4" t="s">
        <v>240</v>
      </c>
    </row>
    <row r="5" spans="1:14" x14ac:dyDescent="0.25">
      <c r="A5" t="s">
        <v>160</v>
      </c>
      <c r="B5" t="s">
        <v>12</v>
      </c>
      <c r="C5" t="s">
        <v>7</v>
      </c>
      <c r="D5">
        <v>69</v>
      </c>
      <c r="E5" t="s">
        <v>98</v>
      </c>
      <c r="F5" t="s">
        <v>13</v>
      </c>
      <c r="G5" t="s">
        <v>239</v>
      </c>
      <c r="H5" t="str">
        <f t="shared" si="0"/>
        <v xml:space="preserve">    GUID: 467e51d7-1659-d2e4-12cb-c64a0d19ecb4,</v>
      </c>
      <c r="I5" t="str">
        <f t="shared" si="1"/>
        <v xml:space="preserve">    name: STIG,</v>
      </c>
      <c r="J5" t="str">
        <f t="shared" si="2"/>
        <v xml:space="preserve">    category: Bar furniture,</v>
      </c>
      <c r="K5" t="str">
        <f t="shared" si="3"/>
        <v xml:space="preserve">    price: 69,</v>
      </c>
      <c r="L5" t="str">
        <f t="shared" si="4"/>
        <v xml:space="preserve">    description: Bar stool with backrest, 74 cm,</v>
      </c>
      <c r="M5" t="str">
        <f t="shared" si="5"/>
        <v xml:space="preserve">    designer: Henrik Preutz</v>
      </c>
      <c r="N5" t="s">
        <v>240</v>
      </c>
    </row>
    <row r="6" spans="1:14" x14ac:dyDescent="0.25">
      <c r="A6" t="s">
        <v>161</v>
      </c>
      <c r="B6" t="s">
        <v>14</v>
      </c>
      <c r="C6" t="s">
        <v>7</v>
      </c>
      <c r="D6">
        <v>225</v>
      </c>
      <c r="E6" t="s">
        <v>99</v>
      </c>
      <c r="F6" t="s">
        <v>15</v>
      </c>
      <c r="G6" t="s">
        <v>239</v>
      </c>
      <c r="H6" t="str">
        <f t="shared" si="0"/>
        <v xml:space="preserve">    GUID: 655b86b4-3d2a-1bfd-387f-77b7f77ca6c1,</v>
      </c>
      <c r="I6" t="str">
        <f t="shared" si="1"/>
        <v xml:space="preserve">    name: NORBERG,</v>
      </c>
      <c r="J6" t="str">
        <f t="shared" si="2"/>
        <v xml:space="preserve">    category: Bar furniture,</v>
      </c>
      <c r="K6" t="str">
        <f t="shared" si="3"/>
        <v xml:space="preserve">    price: 225,</v>
      </c>
      <c r="L6" t="str">
        <f t="shared" si="4"/>
        <v xml:space="preserve">    description: Wall-mounted drop-leaf table, 74x60 cm,</v>
      </c>
      <c r="M6" t="str">
        <f t="shared" si="5"/>
        <v xml:space="preserve">    designer: Marcus Arvonen</v>
      </c>
      <c r="N6" t="s">
        <v>240</v>
      </c>
    </row>
    <row r="7" spans="1:14" x14ac:dyDescent="0.25">
      <c r="A7" t="s">
        <v>162</v>
      </c>
      <c r="B7" t="s">
        <v>16</v>
      </c>
      <c r="C7" t="s">
        <v>7</v>
      </c>
      <c r="D7">
        <v>345</v>
      </c>
      <c r="E7" t="s">
        <v>100</v>
      </c>
      <c r="F7" t="s">
        <v>17</v>
      </c>
      <c r="G7" t="s">
        <v>239</v>
      </c>
      <c r="H7" t="str">
        <f t="shared" si="0"/>
        <v xml:space="preserve">    GUID: 085ffadd-146b-fcfd-91e5-ca4e50e034c9,</v>
      </c>
      <c r="I7" t="str">
        <f t="shared" si="1"/>
        <v xml:space="preserve">    name: INGOLF,</v>
      </c>
      <c r="J7" t="str">
        <f t="shared" si="2"/>
        <v xml:space="preserve">    category: Bar furniture,</v>
      </c>
      <c r="K7" t="str">
        <f t="shared" si="3"/>
        <v xml:space="preserve">    price: 345,</v>
      </c>
      <c r="L7" t="str">
        <f t="shared" si="4"/>
        <v xml:space="preserve">    description: Bar stool with backrest, 63 cm,</v>
      </c>
      <c r="M7" t="str">
        <f t="shared" si="5"/>
        <v xml:space="preserve">    designer: Carina Bengs</v>
      </c>
      <c r="N7" t="s">
        <v>240</v>
      </c>
    </row>
    <row r="8" spans="1:14" x14ac:dyDescent="0.25">
      <c r="A8" t="s">
        <v>163</v>
      </c>
      <c r="B8" t="s">
        <v>18</v>
      </c>
      <c r="C8" t="s">
        <v>7</v>
      </c>
      <c r="D8">
        <v>129</v>
      </c>
      <c r="E8" t="s">
        <v>101</v>
      </c>
      <c r="F8" t="s">
        <v>19</v>
      </c>
      <c r="G8" t="s">
        <v>239</v>
      </c>
      <c r="H8" t="str">
        <f t="shared" si="0"/>
        <v xml:space="preserve">    GUID: b34cfdde-5b2b-6ecc-b205-b292f3778a1f,</v>
      </c>
      <c r="I8" t="str">
        <f t="shared" si="1"/>
        <v xml:space="preserve">    name: FRANKLIN,</v>
      </c>
      <c r="J8" t="str">
        <f t="shared" si="2"/>
        <v xml:space="preserve">    category: Bar furniture,</v>
      </c>
      <c r="K8" t="str">
        <f t="shared" si="3"/>
        <v xml:space="preserve">    price: 129,</v>
      </c>
      <c r="L8" t="str">
        <f t="shared" si="4"/>
        <v xml:space="preserve">    description: Bar stool with backrest, foldable, 63 cm,</v>
      </c>
      <c r="M8" t="str">
        <f t="shared" si="5"/>
        <v xml:space="preserve">    designer: K Hagberg/M Hagberg</v>
      </c>
      <c r="N8" t="s">
        <v>240</v>
      </c>
    </row>
    <row r="9" spans="1:14" x14ac:dyDescent="0.25">
      <c r="A9" t="s">
        <v>164</v>
      </c>
      <c r="B9" t="s">
        <v>20</v>
      </c>
      <c r="C9" t="s">
        <v>7</v>
      </c>
      <c r="D9">
        <v>195</v>
      </c>
      <c r="E9" t="s">
        <v>102</v>
      </c>
      <c r="F9" t="s">
        <v>21</v>
      </c>
      <c r="G9" t="s">
        <v>239</v>
      </c>
      <c r="H9" t="str">
        <f t="shared" si="0"/>
        <v xml:space="preserve">    GUID: 02e90226-87d1-3c2c-922d-43682e6b6a80,</v>
      </c>
      <c r="I9" t="str">
        <f t="shared" si="1"/>
        <v xml:space="preserve">    name: DALFRED,</v>
      </c>
      <c r="J9" t="str">
        <f t="shared" si="2"/>
        <v xml:space="preserve">    category: Bar furniture,</v>
      </c>
      <c r="K9" t="str">
        <f t="shared" si="3"/>
        <v xml:space="preserve">    price: 195,</v>
      </c>
      <c r="L9" t="str">
        <f t="shared" si="4"/>
        <v xml:space="preserve">    description: Bar stool, 63-74 cm,</v>
      </c>
      <c r="M9" t="str">
        <f t="shared" si="5"/>
        <v xml:space="preserve">    designer: Sarah Fager</v>
      </c>
      <c r="N9" t="s">
        <v>240</v>
      </c>
    </row>
    <row r="10" spans="1:14" x14ac:dyDescent="0.25">
      <c r="A10" t="s">
        <v>165</v>
      </c>
      <c r="B10" t="s">
        <v>18</v>
      </c>
      <c r="C10" t="s">
        <v>7</v>
      </c>
      <c r="D10">
        <v>129</v>
      </c>
      <c r="E10" t="s">
        <v>101</v>
      </c>
      <c r="F10" t="s">
        <v>19</v>
      </c>
      <c r="G10" t="s">
        <v>239</v>
      </c>
      <c r="H10" t="str">
        <f t="shared" si="0"/>
        <v xml:space="preserve">    GUID: 71f8811f-fe2d-0608-24e4-aafe3c7c3d14,</v>
      </c>
      <c r="I10" t="str">
        <f t="shared" si="1"/>
        <v xml:space="preserve">    name: FRANKLIN,</v>
      </c>
      <c r="J10" t="str">
        <f t="shared" si="2"/>
        <v xml:space="preserve">    category: Bar furniture,</v>
      </c>
      <c r="K10" t="str">
        <f t="shared" si="3"/>
        <v xml:space="preserve">    price: 129,</v>
      </c>
      <c r="L10" t="str">
        <f t="shared" si="4"/>
        <v xml:space="preserve">    description: Bar stool with backrest, foldable, 63 cm,</v>
      </c>
      <c r="M10" t="str">
        <f t="shared" si="5"/>
        <v xml:space="preserve">    designer: K Hagberg/M Hagberg</v>
      </c>
      <c r="N10" t="s">
        <v>240</v>
      </c>
    </row>
    <row r="11" spans="1:14" x14ac:dyDescent="0.25">
      <c r="A11" t="s">
        <v>166</v>
      </c>
      <c r="B11" t="s">
        <v>22</v>
      </c>
      <c r="C11" t="s">
        <v>7</v>
      </c>
      <c r="D11">
        <v>2176</v>
      </c>
      <c r="E11" t="s">
        <v>97</v>
      </c>
      <c r="F11" t="s">
        <v>23</v>
      </c>
      <c r="G11" t="s">
        <v>239</v>
      </c>
      <c r="H11" t="str">
        <f t="shared" si="0"/>
        <v xml:space="preserve">    GUID: 003cfb2f-6e16-c274-fc0e-29c252101a96,</v>
      </c>
      <c r="I11" t="str">
        <f t="shared" si="1"/>
        <v xml:space="preserve">    name: EKEDALEN / EKEDALEN,</v>
      </c>
      <c r="J11" t="str">
        <f t="shared" si="2"/>
        <v xml:space="preserve">    category: Bar furniture,</v>
      </c>
      <c r="K11" t="str">
        <f t="shared" si="3"/>
        <v xml:space="preserve">    price: 2176,</v>
      </c>
      <c r="L11" t="str">
        <f t="shared" si="4"/>
        <v xml:space="preserve">    description: Bar table and 4 bar stools,</v>
      </c>
      <c r="M11" t="str">
        <f t="shared" si="5"/>
        <v xml:space="preserve">    designer: EhlÃ©n Johansson</v>
      </c>
      <c r="N11" t="s">
        <v>240</v>
      </c>
    </row>
    <row r="12" spans="1:14" x14ac:dyDescent="0.25">
      <c r="A12" t="s">
        <v>167</v>
      </c>
      <c r="B12" t="s">
        <v>24</v>
      </c>
      <c r="C12" t="s">
        <v>25</v>
      </c>
      <c r="D12">
        <v>795</v>
      </c>
      <c r="E12" t="s">
        <v>103</v>
      </c>
      <c r="F12" t="s">
        <v>26</v>
      </c>
      <c r="G12" t="s">
        <v>239</v>
      </c>
      <c r="H12" t="str">
        <f t="shared" si="0"/>
        <v xml:space="preserve">    GUID: a78f0737-89cc-0f8a-9a0d-e8c6e273eab1,</v>
      </c>
      <c r="I12" t="str">
        <f t="shared" si="1"/>
        <v xml:space="preserve">    name: BRIMNES,</v>
      </c>
      <c r="J12" t="str">
        <f t="shared" si="2"/>
        <v xml:space="preserve">    category: Beds,</v>
      </c>
      <c r="K12" t="str">
        <f t="shared" si="3"/>
        <v xml:space="preserve">    price: 795,</v>
      </c>
      <c r="L12" t="str">
        <f t="shared" si="4"/>
        <v xml:space="preserve">    description: Bed frame w storage and headboard, 140x200 cm,</v>
      </c>
      <c r="M12" t="str">
        <f t="shared" si="5"/>
        <v xml:space="preserve">    designer: K Hagberg/M Hagberg/IKEA of Sweden</v>
      </c>
      <c r="N12" t="s">
        <v>240</v>
      </c>
    </row>
    <row r="13" spans="1:14" x14ac:dyDescent="0.25">
      <c r="A13" t="s">
        <v>168</v>
      </c>
      <c r="B13" t="s">
        <v>27</v>
      </c>
      <c r="C13" t="s">
        <v>25</v>
      </c>
      <c r="D13">
        <v>99</v>
      </c>
      <c r="E13" t="s">
        <v>104</v>
      </c>
      <c r="F13" t="s">
        <v>28</v>
      </c>
      <c r="G13" t="s">
        <v>239</v>
      </c>
      <c r="H13" t="str">
        <f t="shared" si="0"/>
        <v xml:space="preserve">    GUID: 1442e20e-80ea-aaea-6c88-2006fb5aab51,</v>
      </c>
      <c r="I13" t="str">
        <f t="shared" si="1"/>
        <v xml:space="preserve">    name: NEIDEN,</v>
      </c>
      <c r="J13" t="str">
        <f t="shared" si="2"/>
        <v xml:space="preserve">    category: Beds,</v>
      </c>
      <c r="K13" t="str">
        <f t="shared" si="3"/>
        <v xml:space="preserve">    price: 99,</v>
      </c>
      <c r="L13" t="str">
        <f t="shared" si="4"/>
        <v xml:space="preserve">    description: Bed frame, 90x200 cm,</v>
      </c>
      <c r="M13" t="str">
        <f t="shared" si="5"/>
        <v xml:space="preserve">    designer: Jon Karlsson</v>
      </c>
      <c r="N13" t="s">
        <v>240</v>
      </c>
    </row>
    <row r="14" spans="1:14" x14ac:dyDescent="0.25">
      <c r="A14" t="s">
        <v>169</v>
      </c>
      <c r="B14" t="s">
        <v>29</v>
      </c>
      <c r="C14" t="s">
        <v>25</v>
      </c>
      <c r="D14">
        <v>1195</v>
      </c>
      <c r="E14" t="s">
        <v>105</v>
      </c>
      <c r="F14" t="s">
        <v>30</v>
      </c>
      <c r="G14" t="s">
        <v>239</v>
      </c>
      <c r="H14" t="str">
        <f t="shared" si="0"/>
        <v xml:space="preserve">    GUID: 89f5aff1-e712-49f5-5e15-cff7c7645586,</v>
      </c>
      <c r="I14" t="str">
        <f t="shared" si="1"/>
        <v xml:space="preserve">    name: LEIRVIK,</v>
      </c>
      <c r="J14" t="str">
        <f t="shared" si="2"/>
        <v xml:space="preserve">    category: Beds,</v>
      </c>
      <c r="K14" t="str">
        <f t="shared" si="3"/>
        <v xml:space="preserve">    price: 1195,</v>
      </c>
      <c r="L14" t="str">
        <f t="shared" si="4"/>
        <v xml:space="preserve">    description: Bed frame, 180x200 cm,</v>
      </c>
      <c r="M14" t="str">
        <f t="shared" si="5"/>
        <v xml:space="preserve">    designer: IKEA of Sweden/Carina Bengs</v>
      </c>
      <c r="N14" t="s">
        <v>240</v>
      </c>
    </row>
    <row r="15" spans="1:14" x14ac:dyDescent="0.25">
      <c r="A15" t="s">
        <v>170</v>
      </c>
      <c r="B15" t="s">
        <v>27</v>
      </c>
      <c r="C15" t="s">
        <v>25</v>
      </c>
      <c r="D15">
        <v>199</v>
      </c>
      <c r="E15" t="s">
        <v>106</v>
      </c>
      <c r="F15" t="s">
        <v>28</v>
      </c>
      <c r="G15" t="s">
        <v>239</v>
      </c>
      <c r="H15" t="str">
        <f t="shared" si="0"/>
        <v xml:space="preserve">    GUID: 51148054-1df2-9f84-4d39-e4a81cf67b54,</v>
      </c>
      <c r="I15" t="str">
        <f t="shared" si="1"/>
        <v xml:space="preserve">    name: NEIDEN,</v>
      </c>
      <c r="J15" t="str">
        <f t="shared" si="2"/>
        <v xml:space="preserve">    category: Beds,</v>
      </c>
      <c r="K15" t="str">
        <f t="shared" si="3"/>
        <v xml:space="preserve">    price: 199,</v>
      </c>
      <c r="L15" t="str">
        <f t="shared" si="4"/>
        <v xml:space="preserve">    description: Bed frame, 140x200 cm,</v>
      </c>
      <c r="M15" t="str">
        <f t="shared" si="5"/>
        <v xml:space="preserve">    designer: Jon Karlsson</v>
      </c>
      <c r="N15" t="s">
        <v>240</v>
      </c>
    </row>
    <row r="16" spans="1:14" x14ac:dyDescent="0.25">
      <c r="A16" t="s">
        <v>171</v>
      </c>
      <c r="B16" t="s">
        <v>31</v>
      </c>
      <c r="C16" t="s">
        <v>25</v>
      </c>
      <c r="D16">
        <v>675</v>
      </c>
      <c r="E16" t="s">
        <v>106</v>
      </c>
      <c r="F16" t="s">
        <v>30</v>
      </c>
      <c r="G16" t="s">
        <v>239</v>
      </c>
      <c r="H16" t="str">
        <f t="shared" si="0"/>
        <v xml:space="preserve">    GUID: a2d45cb9-d09d-ba7a-96f6-56c1a34060e9,</v>
      </c>
      <c r="I16" t="str">
        <f t="shared" si="1"/>
        <v xml:space="preserve">    name: HEMNES,</v>
      </c>
      <c r="J16" t="str">
        <f t="shared" si="2"/>
        <v xml:space="preserve">    category: Beds,</v>
      </c>
      <c r="K16" t="str">
        <f t="shared" si="3"/>
        <v xml:space="preserve">    price: 675,</v>
      </c>
      <c r="L16" t="str">
        <f t="shared" si="4"/>
        <v xml:space="preserve">    description: Bed frame, 140x200 cm,</v>
      </c>
      <c r="M16" t="str">
        <f t="shared" si="5"/>
        <v xml:space="preserve">    designer: IKEA of Sweden/Carina Bengs</v>
      </c>
      <c r="N16" t="s">
        <v>240</v>
      </c>
    </row>
    <row r="17" spans="1:14" x14ac:dyDescent="0.25">
      <c r="A17" t="s">
        <v>172</v>
      </c>
      <c r="B17" t="s">
        <v>32</v>
      </c>
      <c r="C17" t="s">
        <v>25</v>
      </c>
      <c r="D17">
        <v>595</v>
      </c>
      <c r="E17" t="s">
        <v>107</v>
      </c>
      <c r="F17" t="s">
        <v>33</v>
      </c>
      <c r="G17" t="s">
        <v>239</v>
      </c>
      <c r="H17" t="str">
        <f t="shared" si="0"/>
        <v xml:space="preserve">    GUID: f72475e8-f0e0-f5c8-54c6-0d9d186c7192,</v>
      </c>
      <c r="I17" t="str">
        <f t="shared" si="1"/>
        <v xml:space="preserve">    name: SLATTUM,</v>
      </c>
      <c r="J17" t="str">
        <f t="shared" si="2"/>
        <v xml:space="preserve">    category: Beds,</v>
      </c>
      <c r="K17" t="str">
        <f t="shared" si="3"/>
        <v xml:space="preserve">    price: 595,</v>
      </c>
      <c r="L17" t="str">
        <f t="shared" si="4"/>
        <v xml:space="preserve">    description: Upholstered bed frame, 140x200 cm,</v>
      </c>
      <c r="M17" t="str">
        <f t="shared" si="5"/>
        <v xml:space="preserve">    designer: David Wahl</v>
      </c>
      <c r="N17" t="s">
        <v>240</v>
      </c>
    </row>
    <row r="18" spans="1:14" x14ac:dyDescent="0.25">
      <c r="A18" t="s">
        <v>173</v>
      </c>
      <c r="B18" t="s">
        <v>27</v>
      </c>
      <c r="C18" t="s">
        <v>25</v>
      </c>
      <c r="D18">
        <v>199</v>
      </c>
      <c r="E18" t="s">
        <v>104</v>
      </c>
      <c r="F18" t="s">
        <v>34</v>
      </c>
      <c r="G18" t="s">
        <v>239</v>
      </c>
      <c r="H18" t="str">
        <f t="shared" si="0"/>
        <v xml:space="preserve">    GUID: 2f37aa0c-f1ef-f848-9a93-5be24fabb39a,</v>
      </c>
      <c r="I18" t="str">
        <f t="shared" si="1"/>
        <v xml:space="preserve">    name: NEIDEN,</v>
      </c>
      <c r="J18" t="str">
        <f t="shared" si="2"/>
        <v xml:space="preserve">    category: Beds,</v>
      </c>
      <c r="K18" t="str">
        <f t="shared" si="3"/>
        <v xml:space="preserve">    price: 199,</v>
      </c>
      <c r="L18" t="str">
        <f t="shared" si="4"/>
        <v xml:space="preserve">    description: Bed frame, 90x200 cm,</v>
      </c>
      <c r="M18" t="str">
        <f t="shared" si="5"/>
        <v xml:space="preserve">    designer: Jon Karlsson/IKEA of Sweden</v>
      </c>
      <c r="N18" t="s">
        <v>240</v>
      </c>
    </row>
    <row r="19" spans="1:14" x14ac:dyDescent="0.25">
      <c r="A19" t="s">
        <v>174</v>
      </c>
      <c r="B19" t="s">
        <v>35</v>
      </c>
      <c r="C19" t="s">
        <v>25</v>
      </c>
      <c r="D19">
        <v>545</v>
      </c>
      <c r="E19" t="s">
        <v>106</v>
      </c>
      <c r="F19" t="s">
        <v>36</v>
      </c>
      <c r="G19" t="s">
        <v>239</v>
      </c>
      <c r="H19" t="str">
        <f t="shared" si="0"/>
        <v xml:space="preserve">    GUID: fa5de624-bd79-ad74-4724-929e6b7157fc,</v>
      </c>
      <c r="I19" t="str">
        <f t="shared" si="1"/>
        <v xml:space="preserve">    name: SAGSTUA,</v>
      </c>
      <c r="J19" t="str">
        <f t="shared" si="2"/>
        <v xml:space="preserve">    category: Beds,</v>
      </c>
      <c r="K19" t="str">
        <f t="shared" si="3"/>
        <v xml:space="preserve">    price: 545,</v>
      </c>
      <c r="L19" t="str">
        <f t="shared" si="4"/>
        <v xml:space="preserve">    description: Bed frame, 140x200 cm,</v>
      </c>
      <c r="M19" t="str">
        <f t="shared" si="5"/>
        <v xml:space="preserve">    designer: IKEA of Sweden/Paulin Machado</v>
      </c>
      <c r="N19" t="s">
        <v>240</v>
      </c>
    </row>
    <row r="20" spans="1:14" x14ac:dyDescent="0.25">
      <c r="A20" t="s">
        <v>175</v>
      </c>
      <c r="B20" t="s">
        <v>24</v>
      </c>
      <c r="C20" t="s">
        <v>25</v>
      </c>
      <c r="D20">
        <v>575</v>
      </c>
      <c r="E20" t="s">
        <v>108</v>
      </c>
      <c r="F20" t="s">
        <v>19</v>
      </c>
      <c r="G20" t="s">
        <v>239</v>
      </c>
      <c r="H20" t="str">
        <f t="shared" si="0"/>
        <v xml:space="preserve">    GUID: 96c56ab6-e5ff-b0b1-03d9-a36b5f92fe7a,</v>
      </c>
      <c r="I20" t="str">
        <f t="shared" si="1"/>
        <v xml:space="preserve">    name: BRIMNES,</v>
      </c>
      <c r="J20" t="str">
        <f t="shared" si="2"/>
        <v xml:space="preserve">    category: Beds,</v>
      </c>
      <c r="K20" t="str">
        <f t="shared" si="3"/>
        <v xml:space="preserve">    price: 575,</v>
      </c>
      <c r="L20" t="str">
        <f t="shared" si="4"/>
        <v xml:space="preserve">    description: Bed frame with storage, 90x200 cm,</v>
      </c>
      <c r="M20" t="str">
        <f t="shared" si="5"/>
        <v xml:space="preserve">    designer: K Hagberg/M Hagberg</v>
      </c>
      <c r="N20" t="s">
        <v>240</v>
      </c>
    </row>
    <row r="21" spans="1:14" x14ac:dyDescent="0.25">
      <c r="A21" t="s">
        <v>176</v>
      </c>
      <c r="B21" t="s">
        <v>37</v>
      </c>
      <c r="C21" t="s">
        <v>25</v>
      </c>
      <c r="D21">
        <v>445</v>
      </c>
      <c r="E21" t="s">
        <v>106</v>
      </c>
      <c r="F21" t="s">
        <v>38</v>
      </c>
      <c r="G21" t="s">
        <v>239</v>
      </c>
      <c r="H21" t="str">
        <f t="shared" si="0"/>
        <v xml:space="preserve">    GUID: 534e5402-e20c-0ef2-6cbf-149c70d9ed40,</v>
      </c>
      <c r="I21" t="str">
        <f t="shared" si="1"/>
        <v xml:space="preserve">    name: ASKVOLL,</v>
      </c>
      <c r="J21" t="str">
        <f t="shared" si="2"/>
        <v xml:space="preserve">    category: Beds,</v>
      </c>
      <c r="K21" t="str">
        <f t="shared" si="3"/>
        <v xml:space="preserve">    price: 445,</v>
      </c>
      <c r="L21" t="str">
        <f t="shared" si="4"/>
        <v xml:space="preserve">    description: Bed frame, 140x200 cm,</v>
      </c>
      <c r="M21" t="str">
        <f t="shared" si="5"/>
        <v xml:space="preserve">    designer: IKEA of Sweden/K Hagberg/M Hagberg</v>
      </c>
      <c r="N21" t="s">
        <v>240</v>
      </c>
    </row>
    <row r="22" spans="1:14" x14ac:dyDescent="0.25">
      <c r="A22" t="s">
        <v>177</v>
      </c>
      <c r="B22" t="s">
        <v>24</v>
      </c>
      <c r="C22" t="s">
        <v>25</v>
      </c>
      <c r="D22">
        <v>795</v>
      </c>
      <c r="E22" t="s">
        <v>103</v>
      </c>
      <c r="F22" t="s">
        <v>26</v>
      </c>
      <c r="G22" t="s">
        <v>239</v>
      </c>
      <c r="H22" t="str">
        <f t="shared" si="0"/>
        <v xml:space="preserve">    GUID: 98f75cab-7289-50e3-0121-b1daba2395b8,</v>
      </c>
      <c r="I22" t="str">
        <f t="shared" si="1"/>
        <v xml:space="preserve">    name: BRIMNES,</v>
      </c>
      <c r="J22" t="str">
        <f t="shared" si="2"/>
        <v xml:space="preserve">    category: Beds,</v>
      </c>
      <c r="K22" t="str">
        <f t="shared" si="3"/>
        <v xml:space="preserve">    price: 795,</v>
      </c>
      <c r="L22" t="str">
        <f t="shared" si="4"/>
        <v xml:space="preserve">    description: Bed frame w storage and headboard, 140x200 cm,</v>
      </c>
      <c r="M22" t="str">
        <f t="shared" si="5"/>
        <v xml:space="preserve">    designer: K Hagberg/M Hagberg/IKEA of Sweden</v>
      </c>
      <c r="N22" t="s">
        <v>240</v>
      </c>
    </row>
    <row r="23" spans="1:14" x14ac:dyDescent="0.25">
      <c r="A23" t="s">
        <v>178</v>
      </c>
      <c r="B23" t="s">
        <v>27</v>
      </c>
      <c r="C23" t="s">
        <v>25</v>
      </c>
      <c r="D23">
        <v>99</v>
      </c>
      <c r="E23" t="s">
        <v>104</v>
      </c>
      <c r="F23" t="s">
        <v>28</v>
      </c>
      <c r="G23" t="s">
        <v>239</v>
      </c>
      <c r="H23" t="str">
        <f t="shared" si="0"/>
        <v xml:space="preserve">    GUID: 4efd05fa-24d6-0142-722f-b12a15eec8d9,</v>
      </c>
      <c r="I23" t="str">
        <f t="shared" si="1"/>
        <v xml:space="preserve">    name: NEIDEN,</v>
      </c>
      <c r="J23" t="str">
        <f t="shared" si="2"/>
        <v xml:space="preserve">    category: Beds,</v>
      </c>
      <c r="K23" t="str">
        <f t="shared" si="3"/>
        <v xml:space="preserve">    price: 99,</v>
      </c>
      <c r="L23" t="str">
        <f t="shared" si="4"/>
        <v xml:space="preserve">    description: Bed frame, 90x200 cm,</v>
      </c>
      <c r="M23" t="str">
        <f t="shared" si="5"/>
        <v xml:space="preserve">    designer: Jon Karlsson</v>
      </c>
      <c r="N23" t="s">
        <v>240</v>
      </c>
    </row>
    <row r="24" spans="1:14" x14ac:dyDescent="0.25">
      <c r="A24" t="s">
        <v>179</v>
      </c>
      <c r="B24" t="s">
        <v>29</v>
      </c>
      <c r="C24" t="s">
        <v>25</v>
      </c>
      <c r="D24">
        <v>1195</v>
      </c>
      <c r="E24" t="s">
        <v>105</v>
      </c>
      <c r="F24" t="s">
        <v>30</v>
      </c>
      <c r="G24" t="s">
        <v>239</v>
      </c>
      <c r="H24" t="str">
        <f t="shared" si="0"/>
        <v xml:space="preserve">    GUID: 662fe320-734a-dcc7-5909-1c83ce35e59a,</v>
      </c>
      <c r="I24" t="str">
        <f t="shared" si="1"/>
        <v xml:space="preserve">    name: LEIRVIK,</v>
      </c>
      <c r="J24" t="str">
        <f t="shared" si="2"/>
        <v xml:space="preserve">    category: Beds,</v>
      </c>
      <c r="K24" t="str">
        <f t="shared" si="3"/>
        <v xml:space="preserve">    price: 1195,</v>
      </c>
      <c r="L24" t="str">
        <f t="shared" si="4"/>
        <v xml:space="preserve">    description: Bed frame, 180x200 cm,</v>
      </c>
      <c r="M24" t="str">
        <f t="shared" si="5"/>
        <v xml:space="preserve">    designer: IKEA of Sweden/Carina Bengs</v>
      </c>
      <c r="N24" t="s">
        <v>240</v>
      </c>
    </row>
    <row r="25" spans="1:14" x14ac:dyDescent="0.25">
      <c r="A25" t="s">
        <v>180</v>
      </c>
      <c r="B25" t="s">
        <v>27</v>
      </c>
      <c r="C25" t="s">
        <v>25</v>
      </c>
      <c r="D25">
        <v>199</v>
      </c>
      <c r="E25" t="s">
        <v>106</v>
      </c>
      <c r="F25" t="s">
        <v>28</v>
      </c>
      <c r="G25" t="s">
        <v>239</v>
      </c>
      <c r="H25" t="str">
        <f t="shared" si="0"/>
        <v xml:space="preserve">    GUID: aeaaab1a-ee7b-11fb-a76d-3d450a3061fc,</v>
      </c>
      <c r="I25" t="str">
        <f t="shared" si="1"/>
        <v xml:space="preserve">    name: NEIDEN,</v>
      </c>
      <c r="J25" t="str">
        <f t="shared" si="2"/>
        <v xml:space="preserve">    category: Beds,</v>
      </c>
      <c r="K25" t="str">
        <f t="shared" si="3"/>
        <v xml:space="preserve">    price: 199,</v>
      </c>
      <c r="L25" t="str">
        <f t="shared" si="4"/>
        <v xml:space="preserve">    description: Bed frame, 140x200 cm,</v>
      </c>
      <c r="M25" t="str">
        <f t="shared" si="5"/>
        <v xml:space="preserve">    designer: Jon Karlsson</v>
      </c>
      <c r="N25" t="s">
        <v>240</v>
      </c>
    </row>
    <row r="26" spans="1:14" x14ac:dyDescent="0.25">
      <c r="A26" t="s">
        <v>181</v>
      </c>
      <c r="B26" t="s">
        <v>31</v>
      </c>
      <c r="C26" t="s">
        <v>25</v>
      </c>
      <c r="D26">
        <v>675</v>
      </c>
      <c r="E26" t="s">
        <v>106</v>
      </c>
      <c r="F26" t="s">
        <v>30</v>
      </c>
      <c r="G26" t="s">
        <v>239</v>
      </c>
      <c r="H26" t="str">
        <f t="shared" si="0"/>
        <v xml:space="preserve">    GUID: 3dd3234b-a165-6c97-e7ce-6ebb2b8858f6,</v>
      </c>
      <c r="I26" t="str">
        <f t="shared" si="1"/>
        <v xml:space="preserve">    name: HEMNES,</v>
      </c>
      <c r="J26" t="str">
        <f t="shared" si="2"/>
        <v xml:space="preserve">    category: Beds,</v>
      </c>
      <c r="K26" t="str">
        <f t="shared" si="3"/>
        <v xml:space="preserve">    price: 675,</v>
      </c>
      <c r="L26" t="str">
        <f t="shared" si="4"/>
        <v xml:space="preserve">    description: Bed frame, 140x200 cm,</v>
      </c>
      <c r="M26" t="str">
        <f t="shared" si="5"/>
        <v xml:space="preserve">    designer: IKEA of Sweden/Carina Bengs</v>
      </c>
      <c r="N26" t="s">
        <v>240</v>
      </c>
    </row>
    <row r="27" spans="1:14" x14ac:dyDescent="0.25">
      <c r="A27" t="s">
        <v>182</v>
      </c>
      <c r="B27" t="s">
        <v>32</v>
      </c>
      <c r="C27" t="s">
        <v>25</v>
      </c>
      <c r="D27">
        <v>595</v>
      </c>
      <c r="E27" t="s">
        <v>107</v>
      </c>
      <c r="F27" t="s">
        <v>33</v>
      </c>
      <c r="G27" t="s">
        <v>239</v>
      </c>
      <c r="H27" t="str">
        <f t="shared" si="0"/>
        <v xml:space="preserve">    GUID: 55b3a22e-bbdf-96d8-4f18-ab26263fd836,</v>
      </c>
      <c r="I27" t="str">
        <f t="shared" si="1"/>
        <v xml:space="preserve">    name: SLATTUM,</v>
      </c>
      <c r="J27" t="str">
        <f t="shared" si="2"/>
        <v xml:space="preserve">    category: Beds,</v>
      </c>
      <c r="K27" t="str">
        <f t="shared" si="3"/>
        <v xml:space="preserve">    price: 595,</v>
      </c>
      <c r="L27" t="str">
        <f t="shared" si="4"/>
        <v xml:space="preserve">    description: Upholstered bed frame, 140x200 cm,</v>
      </c>
      <c r="M27" t="str">
        <f t="shared" si="5"/>
        <v xml:space="preserve">    designer: David Wahl</v>
      </c>
      <c r="N27" t="s">
        <v>240</v>
      </c>
    </row>
    <row r="28" spans="1:14" x14ac:dyDescent="0.25">
      <c r="A28" t="s">
        <v>183</v>
      </c>
      <c r="B28" t="s">
        <v>27</v>
      </c>
      <c r="C28" t="s">
        <v>25</v>
      </c>
      <c r="D28">
        <v>199</v>
      </c>
      <c r="E28" t="s">
        <v>104</v>
      </c>
      <c r="F28" t="s">
        <v>34</v>
      </c>
      <c r="G28" t="s">
        <v>239</v>
      </c>
      <c r="H28" t="str">
        <f t="shared" si="0"/>
        <v xml:space="preserve">    GUID: 2a0a0f79-d58c-c17f-2d0a-9674bacfface,</v>
      </c>
      <c r="I28" t="str">
        <f t="shared" si="1"/>
        <v xml:space="preserve">    name: NEIDEN,</v>
      </c>
      <c r="J28" t="str">
        <f t="shared" si="2"/>
        <v xml:space="preserve">    category: Beds,</v>
      </c>
      <c r="K28" t="str">
        <f t="shared" si="3"/>
        <v xml:space="preserve">    price: 199,</v>
      </c>
      <c r="L28" t="str">
        <f t="shared" si="4"/>
        <v xml:space="preserve">    description: Bed frame, 90x200 cm,</v>
      </c>
      <c r="M28" t="str">
        <f t="shared" si="5"/>
        <v xml:space="preserve">    designer: Jon Karlsson/IKEA of Sweden</v>
      </c>
      <c r="N28" t="s">
        <v>240</v>
      </c>
    </row>
    <row r="29" spans="1:14" x14ac:dyDescent="0.25">
      <c r="A29" t="s">
        <v>184</v>
      </c>
      <c r="B29" t="s">
        <v>35</v>
      </c>
      <c r="C29" t="s">
        <v>25</v>
      </c>
      <c r="D29">
        <v>545</v>
      </c>
      <c r="E29" t="s">
        <v>106</v>
      </c>
      <c r="F29" t="s">
        <v>36</v>
      </c>
      <c r="G29" t="s">
        <v>239</v>
      </c>
      <c r="H29" t="str">
        <f t="shared" si="0"/>
        <v xml:space="preserve">    GUID: 448fa9ea-c3b9-bc75-0d24-0948b18b6a54,</v>
      </c>
      <c r="I29" t="str">
        <f t="shared" si="1"/>
        <v xml:space="preserve">    name: SAGSTUA,</v>
      </c>
      <c r="J29" t="str">
        <f t="shared" si="2"/>
        <v xml:space="preserve">    category: Beds,</v>
      </c>
      <c r="K29" t="str">
        <f t="shared" si="3"/>
        <v xml:space="preserve">    price: 545,</v>
      </c>
      <c r="L29" t="str">
        <f t="shared" si="4"/>
        <v xml:space="preserve">    description: Bed frame, 140x200 cm,</v>
      </c>
      <c r="M29" t="str">
        <f t="shared" si="5"/>
        <v xml:space="preserve">    designer: IKEA of Sweden/Paulin Machado</v>
      </c>
      <c r="N29" t="s">
        <v>240</v>
      </c>
    </row>
    <row r="30" spans="1:14" x14ac:dyDescent="0.25">
      <c r="A30" t="s">
        <v>185</v>
      </c>
      <c r="B30" t="s">
        <v>24</v>
      </c>
      <c r="C30" t="s">
        <v>25</v>
      </c>
      <c r="D30">
        <v>575</v>
      </c>
      <c r="E30" t="s">
        <v>108</v>
      </c>
      <c r="F30" t="s">
        <v>19</v>
      </c>
      <c r="G30" t="s">
        <v>239</v>
      </c>
      <c r="H30" t="str">
        <f t="shared" si="0"/>
        <v xml:space="preserve">    GUID: 8578cafd-d7af-95da-927a-8c5af2179671,</v>
      </c>
      <c r="I30" t="str">
        <f t="shared" si="1"/>
        <v xml:space="preserve">    name: BRIMNES,</v>
      </c>
      <c r="J30" t="str">
        <f t="shared" si="2"/>
        <v xml:space="preserve">    category: Beds,</v>
      </c>
      <c r="K30" t="str">
        <f t="shared" si="3"/>
        <v xml:space="preserve">    price: 575,</v>
      </c>
      <c r="L30" t="str">
        <f t="shared" si="4"/>
        <v xml:space="preserve">    description: Bed frame with storage, 90x200 cm,</v>
      </c>
      <c r="M30" t="str">
        <f t="shared" si="5"/>
        <v xml:space="preserve">    designer: K Hagberg/M Hagberg</v>
      </c>
      <c r="N30" t="s">
        <v>240</v>
      </c>
    </row>
    <row r="31" spans="1:14" x14ac:dyDescent="0.25">
      <c r="A31" t="s">
        <v>186</v>
      </c>
      <c r="B31" t="s">
        <v>37</v>
      </c>
      <c r="C31" t="s">
        <v>25</v>
      </c>
      <c r="D31">
        <v>445</v>
      </c>
      <c r="E31" t="s">
        <v>106</v>
      </c>
      <c r="F31" t="s">
        <v>38</v>
      </c>
      <c r="G31" t="s">
        <v>239</v>
      </c>
      <c r="H31" t="str">
        <f t="shared" si="0"/>
        <v xml:space="preserve">    GUID: 9c076b30-5ecc-3c5b-2293-4f78cdbeaf21,</v>
      </c>
      <c r="I31" t="str">
        <f t="shared" si="1"/>
        <v xml:space="preserve">    name: ASKVOLL,</v>
      </c>
      <c r="J31" t="str">
        <f t="shared" si="2"/>
        <v xml:space="preserve">    category: Beds,</v>
      </c>
      <c r="K31" t="str">
        <f t="shared" si="3"/>
        <v xml:space="preserve">    price: 445,</v>
      </c>
      <c r="L31" t="str">
        <f t="shared" si="4"/>
        <v xml:space="preserve">    description: Bed frame, 140x200 cm,</v>
      </c>
      <c r="M31" t="str">
        <f t="shared" si="5"/>
        <v xml:space="preserve">    designer: IKEA of Sweden/K Hagberg/M Hagberg</v>
      </c>
      <c r="N31" t="s">
        <v>240</v>
      </c>
    </row>
    <row r="32" spans="1:14" x14ac:dyDescent="0.25">
      <c r="A32" t="s">
        <v>187</v>
      </c>
      <c r="B32" t="s">
        <v>39</v>
      </c>
      <c r="C32" t="s">
        <v>40</v>
      </c>
      <c r="D32">
        <v>175</v>
      </c>
      <c r="E32" t="s">
        <v>109</v>
      </c>
      <c r="F32" t="s">
        <v>41</v>
      </c>
      <c r="G32" t="s">
        <v>239</v>
      </c>
      <c r="H32" t="str">
        <f t="shared" si="0"/>
        <v xml:space="preserve">    GUID: ac74c906-571e-85e3-cd0b-c1c6ca444318,</v>
      </c>
      <c r="I32" t="str">
        <f t="shared" si="1"/>
        <v xml:space="preserve">    name: GLASSVIK,</v>
      </c>
      <c r="J32" t="str">
        <f t="shared" si="2"/>
        <v xml:space="preserve">    category: Cabinets &amp; cupboards,</v>
      </c>
      <c r="K32" t="str">
        <f t="shared" si="3"/>
        <v xml:space="preserve">    price: 175,</v>
      </c>
      <c r="L32" t="str">
        <f t="shared" si="4"/>
        <v xml:space="preserve">    description: Glass door, 60x38 cm,</v>
      </c>
      <c r="M32" t="str">
        <f t="shared" si="5"/>
        <v xml:space="preserve">    designer: IKEA of Sweden</v>
      </c>
      <c r="N32" t="s">
        <v>240</v>
      </c>
    </row>
    <row r="33" spans="1:14" x14ac:dyDescent="0.25">
      <c r="A33" t="s">
        <v>188</v>
      </c>
      <c r="B33" t="s">
        <v>42</v>
      </c>
      <c r="C33" t="s">
        <v>40</v>
      </c>
      <c r="D33">
        <v>250</v>
      </c>
      <c r="E33" t="s">
        <v>110</v>
      </c>
      <c r="F33" t="s">
        <v>50</v>
      </c>
      <c r="G33" t="s">
        <v>239</v>
      </c>
      <c r="H33" t="str">
        <f t="shared" si="0"/>
        <v xml:space="preserve">    GUID: b1b51428-6873-1892-950a-2e56a731c55c,</v>
      </c>
      <c r="I33" t="str">
        <f t="shared" si="1"/>
        <v xml:space="preserve">    name: KALLAX,</v>
      </c>
      <c r="J33" t="str">
        <f t="shared" si="2"/>
        <v xml:space="preserve">    category: Cabinets &amp; cupboards,</v>
      </c>
      <c r="K33" t="str">
        <f t="shared" si="3"/>
        <v xml:space="preserve">    price: 250,</v>
      </c>
      <c r="L33" t="str">
        <f t="shared" si="4"/>
        <v xml:space="preserve">    description: Shelving unit, 77x147 cm,</v>
      </c>
      <c r="M33" t="str">
        <f t="shared" si="5"/>
        <v xml:space="preserve">    designer: Tord Bjarklund</v>
      </c>
      <c r="N33" t="s">
        <v>240</v>
      </c>
    </row>
    <row r="34" spans="1:14" x14ac:dyDescent="0.25">
      <c r="A34" t="s">
        <v>189</v>
      </c>
      <c r="B34" t="s">
        <v>43</v>
      </c>
      <c r="C34" t="s">
        <v>40</v>
      </c>
      <c r="D34">
        <v>311</v>
      </c>
      <c r="E34" t="s">
        <v>111</v>
      </c>
      <c r="F34" t="s">
        <v>28</v>
      </c>
      <c r="G34" t="s">
        <v>239</v>
      </c>
      <c r="H34" t="str">
        <f t="shared" si="0"/>
        <v xml:space="preserve">    GUID: b9e23847-3fd8-6bab-c21a-396003e55b88,</v>
      </c>
      <c r="I34" t="str">
        <f t="shared" si="1"/>
        <v xml:space="preserve">    name: EKET,</v>
      </c>
      <c r="J34" t="str">
        <f t="shared" si="2"/>
        <v xml:space="preserve">    category: Cabinets &amp; cupboards,</v>
      </c>
      <c r="K34" t="str">
        <f t="shared" si="3"/>
        <v xml:space="preserve">    price: 311,</v>
      </c>
      <c r="L34" t="str">
        <f t="shared" si="4"/>
        <v xml:space="preserve">    description: Cabinet combination with legs, 70x35x80 cm,</v>
      </c>
      <c r="M34" t="str">
        <f t="shared" si="5"/>
        <v xml:space="preserve">    designer: Jon Karlsson</v>
      </c>
      <c r="N34" t="s">
        <v>240</v>
      </c>
    </row>
    <row r="35" spans="1:14" x14ac:dyDescent="0.25">
      <c r="A35" t="s">
        <v>190</v>
      </c>
      <c r="B35" t="s">
        <v>44</v>
      </c>
      <c r="C35" t="s">
        <v>40</v>
      </c>
      <c r="D35">
        <v>295</v>
      </c>
      <c r="E35" t="s">
        <v>112</v>
      </c>
      <c r="F35" t="s">
        <v>41</v>
      </c>
      <c r="G35" t="s">
        <v>239</v>
      </c>
      <c r="H35" t="str">
        <f t="shared" si="0"/>
        <v xml:space="preserve">    GUID: 1bb49345-a2ad-1764-3dc6-3219262c42bf,</v>
      </c>
      <c r="I35" t="str">
        <f t="shared" si="1"/>
        <v xml:space="preserve">    name: IVAR,</v>
      </c>
      <c r="J35" t="str">
        <f t="shared" si="2"/>
        <v xml:space="preserve">    category: Cabinets &amp; cupboards,</v>
      </c>
      <c r="K35" t="str">
        <f t="shared" si="3"/>
        <v xml:space="preserve">    price: 295,</v>
      </c>
      <c r="L35" t="str">
        <f t="shared" si="4"/>
        <v xml:space="preserve">    description: Cabinet, 80x30x83 cm,</v>
      </c>
      <c r="M35" t="str">
        <f t="shared" si="5"/>
        <v xml:space="preserve">    designer: IKEA of Sweden</v>
      </c>
      <c r="N35" t="s">
        <v>240</v>
      </c>
    </row>
    <row r="36" spans="1:14" x14ac:dyDescent="0.25">
      <c r="A36" t="s">
        <v>191</v>
      </c>
      <c r="B36" t="s">
        <v>45</v>
      </c>
      <c r="C36" t="s">
        <v>40</v>
      </c>
      <c r="D36">
        <v>1116</v>
      </c>
      <c r="E36" t="s">
        <v>113</v>
      </c>
      <c r="F36" t="s">
        <v>10</v>
      </c>
      <c r="G36" t="s">
        <v>239</v>
      </c>
      <c r="H36" t="str">
        <f t="shared" si="0"/>
        <v xml:space="preserve">    GUID: 624d3419-49a8-123b-de7c-3ef019ab7784,</v>
      </c>
      <c r="I36" t="str">
        <f t="shared" si="1"/>
        <v xml:space="preserve">    name: LOMMARP,</v>
      </c>
      <c r="J36" t="str">
        <f t="shared" si="2"/>
        <v xml:space="preserve">    category: Cabinets &amp; cupboards,</v>
      </c>
      <c r="K36" t="str">
        <f t="shared" si="3"/>
        <v xml:space="preserve">    price: 1116,</v>
      </c>
      <c r="L36" t="str">
        <f t="shared" si="4"/>
        <v xml:space="preserve">    description: Cabinet with glass doors, 86x199 cm,</v>
      </c>
      <c r="M36" t="str">
        <f t="shared" si="5"/>
        <v xml:space="preserve">    designer: Francis Cayouette</v>
      </c>
      <c r="N36" t="s">
        <v>240</v>
      </c>
    </row>
    <row r="37" spans="1:14" x14ac:dyDescent="0.25">
      <c r="A37" t="s">
        <v>192</v>
      </c>
      <c r="B37" t="s">
        <v>46</v>
      </c>
      <c r="C37" t="s">
        <v>40</v>
      </c>
      <c r="D37">
        <v>295</v>
      </c>
      <c r="E37" t="s">
        <v>114</v>
      </c>
      <c r="F37" t="s">
        <v>41</v>
      </c>
      <c r="G37" t="s">
        <v>239</v>
      </c>
      <c r="H37" t="str">
        <f t="shared" si="0"/>
        <v xml:space="preserve">    GUID: 260045d5-fe59-b6db-cc6c-01118c38e2a1,</v>
      </c>
      <c r="I37" t="str">
        <f t="shared" si="1"/>
        <v xml:space="preserve">    name: DETOLF,</v>
      </c>
      <c r="J37" t="str">
        <f t="shared" si="2"/>
        <v xml:space="preserve">    category: Cabinets &amp; cupboards,</v>
      </c>
      <c r="K37" t="str">
        <f t="shared" si="3"/>
        <v xml:space="preserve">    price: 295,</v>
      </c>
      <c r="L37" t="str">
        <f t="shared" si="4"/>
        <v xml:space="preserve">    description: Glass-door cabinet, 43x163 cm,</v>
      </c>
      <c r="M37" t="str">
        <f t="shared" si="5"/>
        <v xml:space="preserve">    designer: IKEA of Sweden</v>
      </c>
      <c r="N37" t="s">
        <v>240</v>
      </c>
    </row>
    <row r="38" spans="1:14" x14ac:dyDescent="0.25">
      <c r="A38" t="s">
        <v>193</v>
      </c>
      <c r="B38" t="s">
        <v>42</v>
      </c>
      <c r="C38" t="s">
        <v>40</v>
      </c>
      <c r="D38">
        <v>500</v>
      </c>
      <c r="E38" t="s">
        <v>115</v>
      </c>
      <c r="F38" t="s">
        <v>50</v>
      </c>
      <c r="G38" t="s">
        <v>239</v>
      </c>
      <c r="H38" t="str">
        <f t="shared" si="0"/>
        <v xml:space="preserve">    GUID: 4fdcd87f-fb9f-16dd-4542-ed525e525fec,</v>
      </c>
      <c r="I38" t="str">
        <f t="shared" si="1"/>
        <v xml:space="preserve">    name: KALLAX,</v>
      </c>
      <c r="J38" t="str">
        <f t="shared" si="2"/>
        <v xml:space="preserve">    category: Cabinets &amp; cupboards,</v>
      </c>
      <c r="K38" t="str">
        <f t="shared" si="3"/>
        <v xml:space="preserve">    price: 500,</v>
      </c>
      <c r="L38" t="str">
        <f t="shared" si="4"/>
        <v xml:space="preserve">    description: Shelving unit with 4 inserts, 77x147 cm,</v>
      </c>
      <c r="M38" t="str">
        <f t="shared" si="5"/>
        <v xml:space="preserve">    designer: Tord Bjarklund</v>
      </c>
      <c r="N38" t="s">
        <v>240</v>
      </c>
    </row>
    <row r="39" spans="1:14" x14ac:dyDescent="0.25">
      <c r="A39" t="s">
        <v>194</v>
      </c>
      <c r="B39" t="s">
        <v>47</v>
      </c>
      <c r="C39" t="s">
        <v>40</v>
      </c>
      <c r="D39">
        <v>315</v>
      </c>
      <c r="E39" t="s">
        <v>116</v>
      </c>
      <c r="F39" t="s">
        <v>48</v>
      </c>
      <c r="G39" t="s">
        <v>239</v>
      </c>
      <c r="H39" t="str">
        <f t="shared" si="0"/>
        <v xml:space="preserve">    GUID: 1b8063e6-5053-72c0-73be-e8361549f26e,</v>
      </c>
      <c r="I39" t="str">
        <f t="shared" si="1"/>
        <v xml:space="preserve">    name: BILLY / OXBERG,</v>
      </c>
      <c r="J39" t="str">
        <f t="shared" si="2"/>
        <v xml:space="preserve">    category: Cabinets &amp; cupboards,</v>
      </c>
      <c r="K39" t="str">
        <f t="shared" si="3"/>
        <v xml:space="preserve">    price: 315,</v>
      </c>
      <c r="L39" t="str">
        <f t="shared" si="4"/>
        <v xml:space="preserve">    description: Bookcase with doors, 80x30x106 cm,</v>
      </c>
      <c r="M39" t="str">
        <f t="shared" si="5"/>
        <v xml:space="preserve">    designer: Gillis Lundgren</v>
      </c>
      <c r="N39" t="s">
        <v>240</v>
      </c>
    </row>
    <row r="40" spans="1:14" x14ac:dyDescent="0.25">
      <c r="A40" t="s">
        <v>195</v>
      </c>
      <c r="B40" t="s">
        <v>49</v>
      </c>
      <c r="C40" t="s">
        <v>40</v>
      </c>
      <c r="D40">
        <v>595</v>
      </c>
      <c r="E40" t="s">
        <v>117</v>
      </c>
      <c r="F40" t="s">
        <v>41</v>
      </c>
      <c r="G40" t="s">
        <v>239</v>
      </c>
      <c r="H40" t="str">
        <f t="shared" si="0"/>
        <v xml:space="preserve">    GUID: 36795daa-975d-4ee5-be92-f3d29f44ea51,</v>
      </c>
      <c r="I40" t="str">
        <f t="shared" si="1"/>
        <v xml:space="preserve">    name: SYVDE,</v>
      </c>
      <c r="J40" t="str">
        <f t="shared" si="2"/>
        <v xml:space="preserve">    category: Cabinets &amp; cupboards,</v>
      </c>
      <c r="K40" t="str">
        <f t="shared" si="3"/>
        <v xml:space="preserve">    price: 595,</v>
      </c>
      <c r="L40" t="str">
        <f t="shared" si="4"/>
        <v xml:space="preserve">    description: Cabinet with glass doors, 100x123 cm,</v>
      </c>
      <c r="M40" t="str">
        <f t="shared" si="5"/>
        <v xml:space="preserve">    designer: IKEA of Sweden</v>
      </c>
      <c r="N40" t="s">
        <v>240</v>
      </c>
    </row>
    <row r="41" spans="1:14" x14ac:dyDescent="0.25">
      <c r="A41" t="s">
        <v>196</v>
      </c>
      <c r="B41" t="s">
        <v>43</v>
      </c>
      <c r="C41" t="s">
        <v>40</v>
      </c>
      <c r="D41">
        <v>377</v>
      </c>
      <c r="E41" t="s">
        <v>118</v>
      </c>
      <c r="F41" t="s">
        <v>34</v>
      </c>
      <c r="G41" t="s">
        <v>239</v>
      </c>
      <c r="H41" t="str">
        <f t="shared" si="0"/>
        <v xml:space="preserve">    GUID: 697320cd-1ddf-5a95-db5f-1eed588d1485,</v>
      </c>
      <c r="I41" t="str">
        <f t="shared" si="1"/>
        <v xml:space="preserve">    name: EKET,</v>
      </c>
      <c r="J41" t="str">
        <f t="shared" si="2"/>
        <v xml:space="preserve">    category: Cabinets &amp; cupboards,</v>
      </c>
      <c r="K41" t="str">
        <f t="shared" si="3"/>
        <v xml:space="preserve">    price: 377,</v>
      </c>
      <c r="L41" t="str">
        <f t="shared" si="4"/>
        <v xml:space="preserve">    description: Cabinet combination with feet, 70x25x107 cm,</v>
      </c>
      <c r="M41" t="str">
        <f t="shared" si="5"/>
        <v xml:space="preserve">    designer: Jon Karlsson/IKEA of Sweden</v>
      </c>
      <c r="N41" t="s">
        <v>240</v>
      </c>
    </row>
    <row r="42" spans="1:14" x14ac:dyDescent="0.25">
      <c r="A42" t="s">
        <v>197</v>
      </c>
      <c r="B42" t="s">
        <v>16</v>
      </c>
      <c r="C42" t="s">
        <v>51</v>
      </c>
      <c r="D42">
        <v>195</v>
      </c>
      <c r="E42" t="s">
        <v>119</v>
      </c>
      <c r="F42" t="s">
        <v>17</v>
      </c>
      <c r="G42" t="s">
        <v>239</v>
      </c>
      <c r="H42" t="str">
        <f t="shared" si="0"/>
        <v xml:space="preserve">    GUID: fa79198c-d471-018d-1498-deba88a184ef,</v>
      </c>
      <c r="I42" t="str">
        <f t="shared" si="1"/>
        <v xml:space="preserve">    name: INGOLF,</v>
      </c>
      <c r="J42" t="str">
        <f t="shared" si="2"/>
        <v xml:space="preserve">    category: Chairs,</v>
      </c>
      <c r="K42" t="str">
        <f t="shared" si="3"/>
        <v xml:space="preserve">    price: 195,</v>
      </c>
      <c r="L42" t="str">
        <f t="shared" si="4"/>
        <v xml:space="preserve">    description: Chair,</v>
      </c>
      <c r="M42" t="str">
        <f t="shared" si="5"/>
        <v xml:space="preserve">    designer: Carina Bengs</v>
      </c>
      <c r="N42" t="s">
        <v>240</v>
      </c>
    </row>
    <row r="43" spans="1:14" x14ac:dyDescent="0.25">
      <c r="A43" t="s">
        <v>198</v>
      </c>
      <c r="B43" t="s">
        <v>52</v>
      </c>
      <c r="C43" t="s">
        <v>51</v>
      </c>
      <c r="D43">
        <v>125</v>
      </c>
      <c r="E43" t="s">
        <v>119</v>
      </c>
      <c r="F43" t="s">
        <v>10</v>
      </c>
      <c r="G43" t="s">
        <v>239</v>
      </c>
      <c r="H43" t="str">
        <f t="shared" si="0"/>
        <v xml:space="preserve">    GUID: 9bd54fe9-d85b-19dd-c130-ba09a056c437,</v>
      </c>
      <c r="I43" t="str">
        <f t="shared" si="1"/>
        <v xml:space="preserve">    name: KARLJAN,</v>
      </c>
      <c r="J43" t="str">
        <f t="shared" si="2"/>
        <v xml:space="preserve">    category: Chairs,</v>
      </c>
      <c r="K43" t="str">
        <f t="shared" si="3"/>
        <v xml:space="preserve">    price: 125,</v>
      </c>
      <c r="L43" t="str">
        <f t="shared" si="4"/>
        <v xml:space="preserve">    description: Chair,</v>
      </c>
      <c r="M43" t="str">
        <f t="shared" si="5"/>
        <v xml:space="preserve">    designer: Francis Cayouette</v>
      </c>
      <c r="N43" t="s">
        <v>240</v>
      </c>
    </row>
    <row r="44" spans="1:14" x14ac:dyDescent="0.25">
      <c r="A44" t="s">
        <v>199</v>
      </c>
      <c r="B44" t="s">
        <v>53</v>
      </c>
      <c r="C44" t="s">
        <v>51</v>
      </c>
      <c r="D44">
        <v>250</v>
      </c>
      <c r="E44" t="s">
        <v>120</v>
      </c>
      <c r="F44" t="s">
        <v>10</v>
      </c>
      <c r="G44" t="s">
        <v>239</v>
      </c>
      <c r="H44" t="str">
        <f t="shared" si="0"/>
        <v xml:space="preserve">    GUID: e4213165-fdcd-9298-0114-76abdd7a75a5,</v>
      </c>
      <c r="I44" t="str">
        <f t="shared" si="1"/>
        <v xml:space="preserve">    name: BLECKBERGET,</v>
      </c>
      <c r="J44" t="str">
        <f t="shared" si="2"/>
        <v xml:space="preserve">    category: Chairs,</v>
      </c>
      <c r="K44" t="str">
        <f t="shared" si="3"/>
        <v xml:space="preserve">    price: 250,</v>
      </c>
      <c r="L44" t="str">
        <f t="shared" si="4"/>
        <v xml:space="preserve">    description: Swivel chair,</v>
      </c>
      <c r="M44" t="str">
        <f t="shared" si="5"/>
        <v xml:space="preserve">    designer: Francis Cayouette</v>
      </c>
      <c r="N44" t="s">
        <v>240</v>
      </c>
    </row>
    <row r="45" spans="1:14" x14ac:dyDescent="0.25">
      <c r="A45" t="s">
        <v>200</v>
      </c>
      <c r="B45" t="s">
        <v>54</v>
      </c>
      <c r="C45" t="s">
        <v>51</v>
      </c>
      <c r="D45">
        <v>795</v>
      </c>
      <c r="E45" t="s">
        <v>121</v>
      </c>
      <c r="F45" t="s">
        <v>41</v>
      </c>
      <c r="G45" t="s">
        <v>239</v>
      </c>
      <c r="H45" t="str">
        <f t="shared" si="0"/>
        <v xml:space="preserve">    GUID: 6769c815-2918-25ef-f841-72bea3874047,</v>
      </c>
      <c r="I45" t="str">
        <f t="shared" si="1"/>
        <v xml:space="preserve">    name: REMSTA,</v>
      </c>
      <c r="J45" t="str">
        <f t="shared" si="2"/>
        <v xml:space="preserve">    category: Chairs,</v>
      </c>
      <c r="K45" t="str">
        <f t="shared" si="3"/>
        <v xml:space="preserve">    price: 795,</v>
      </c>
      <c r="L45" t="str">
        <f t="shared" si="4"/>
        <v xml:space="preserve">    description: Armchair,</v>
      </c>
      <c r="M45" t="str">
        <f t="shared" si="5"/>
        <v xml:space="preserve">    designer: IKEA of Sweden</v>
      </c>
      <c r="N45" t="s">
        <v>240</v>
      </c>
    </row>
    <row r="46" spans="1:14" x14ac:dyDescent="0.25">
      <c r="A46" t="s">
        <v>201</v>
      </c>
      <c r="B46" t="s">
        <v>55</v>
      </c>
      <c r="C46" t="s">
        <v>51</v>
      </c>
      <c r="D46">
        <v>995</v>
      </c>
      <c r="E46" t="s">
        <v>122</v>
      </c>
      <c r="F46" t="s">
        <v>56</v>
      </c>
      <c r="G46" t="s">
        <v>239</v>
      </c>
      <c r="H46" t="str">
        <f t="shared" si="0"/>
        <v xml:space="preserve">    GUID: a69c4057-b654-170e-c86f-a086886633dd,</v>
      </c>
      <c r="I46" t="str">
        <f t="shared" si="1"/>
        <v xml:space="preserve">    name: STOCKSUND,</v>
      </c>
      <c r="J46" t="str">
        <f t="shared" si="2"/>
        <v xml:space="preserve">    category: Chairs,</v>
      </c>
      <c r="K46" t="str">
        <f t="shared" si="3"/>
        <v xml:space="preserve">    price: 995,</v>
      </c>
      <c r="L46" t="str">
        <f t="shared" si="4"/>
        <v xml:space="preserve">    description: Bench,</v>
      </c>
      <c r="M46" t="str">
        <f t="shared" si="5"/>
        <v xml:space="preserve">    designer: Nike Karlsson</v>
      </c>
      <c r="N46" t="s">
        <v>240</v>
      </c>
    </row>
    <row r="47" spans="1:14" x14ac:dyDescent="0.25">
      <c r="A47" t="s">
        <v>202</v>
      </c>
      <c r="B47" t="s">
        <v>16</v>
      </c>
      <c r="C47" t="s">
        <v>51</v>
      </c>
      <c r="D47">
        <v>175</v>
      </c>
      <c r="E47" t="s">
        <v>123</v>
      </c>
      <c r="F47" t="s">
        <v>17</v>
      </c>
      <c r="G47" t="s">
        <v>239</v>
      </c>
      <c r="H47" t="str">
        <f t="shared" si="0"/>
        <v xml:space="preserve">    GUID: ae5a7a1a-ad74-e20d-83ca-df938c684b11,</v>
      </c>
      <c r="I47" t="str">
        <f t="shared" si="1"/>
        <v xml:space="preserve">    name: INGOLF,</v>
      </c>
      <c r="J47" t="str">
        <f t="shared" si="2"/>
        <v xml:space="preserve">    category: Chairs,</v>
      </c>
      <c r="K47" t="str">
        <f t="shared" si="3"/>
        <v xml:space="preserve">    price: 175,</v>
      </c>
      <c r="L47" t="str">
        <f t="shared" si="4"/>
        <v xml:space="preserve">    description: Stool,</v>
      </c>
      <c r="M47" t="str">
        <f t="shared" si="5"/>
        <v xml:space="preserve">    designer: Carina Bengs</v>
      </c>
      <c r="N47" t="s">
        <v>240</v>
      </c>
    </row>
    <row r="48" spans="1:14" x14ac:dyDescent="0.25">
      <c r="A48" t="s">
        <v>203</v>
      </c>
      <c r="B48" t="s">
        <v>57</v>
      </c>
      <c r="C48" t="s">
        <v>51</v>
      </c>
      <c r="D48">
        <v>245</v>
      </c>
      <c r="E48" t="s">
        <v>124</v>
      </c>
      <c r="F48" t="s">
        <v>13</v>
      </c>
      <c r="G48" t="s">
        <v>239</v>
      </c>
      <c r="H48" t="str">
        <f t="shared" si="0"/>
        <v xml:space="preserve">    GUID: 75dd7891-8fbf-c8b1-d2ff-58a532a7dce7,</v>
      </c>
      <c r="I48" t="str">
        <f t="shared" si="1"/>
        <v xml:space="preserve">    name: FLINTAN,</v>
      </c>
      <c r="J48" t="str">
        <f t="shared" si="2"/>
        <v xml:space="preserve">    category: Chairs,</v>
      </c>
      <c r="K48" t="str">
        <f t="shared" si="3"/>
        <v xml:space="preserve">    price: 245,</v>
      </c>
      <c r="L48" t="str">
        <f t="shared" si="4"/>
        <v xml:space="preserve">    description: Office chair,</v>
      </c>
      <c r="M48" t="str">
        <f t="shared" si="5"/>
        <v xml:space="preserve">    designer: Henrik Preutz</v>
      </c>
      <c r="N48" t="s">
        <v>240</v>
      </c>
    </row>
    <row r="49" spans="1:14" x14ac:dyDescent="0.25">
      <c r="A49" t="s">
        <v>204</v>
      </c>
      <c r="B49" t="s">
        <v>58</v>
      </c>
      <c r="C49" t="s">
        <v>51</v>
      </c>
      <c r="D49">
        <v>295</v>
      </c>
      <c r="E49" t="s">
        <v>125</v>
      </c>
      <c r="F49" t="s">
        <v>59</v>
      </c>
      <c r="G49" t="s">
        <v>239</v>
      </c>
      <c r="H49" t="str">
        <f t="shared" si="0"/>
        <v xml:space="preserve">    GUID: f017451a-59c7-81b2-cdc0-87aaeed41d98,</v>
      </c>
      <c r="I49" t="str">
        <f t="shared" si="1"/>
        <v xml:space="preserve">    name: IKEA PS GULLHOLMEN,</v>
      </c>
      <c r="J49" t="str">
        <f t="shared" si="2"/>
        <v xml:space="preserve">    category: Chairs,</v>
      </c>
      <c r="K49" t="str">
        <f t="shared" si="3"/>
        <v xml:space="preserve">    price: 295,</v>
      </c>
      <c r="L49" t="str">
        <f t="shared" si="4"/>
        <v xml:space="preserve">    description: Rocking-chair,</v>
      </c>
      <c r="M49" t="str">
        <f t="shared" si="5"/>
        <v xml:space="preserve">    designer: Maria Vinka</v>
      </c>
      <c r="N49" t="s">
        <v>240</v>
      </c>
    </row>
    <row r="50" spans="1:14" x14ac:dyDescent="0.25">
      <c r="A50" t="s">
        <v>205</v>
      </c>
      <c r="B50" t="s">
        <v>60</v>
      </c>
      <c r="C50" t="s">
        <v>51</v>
      </c>
      <c r="D50">
        <v>795</v>
      </c>
      <c r="E50" t="s">
        <v>124</v>
      </c>
      <c r="F50" t="s">
        <v>13</v>
      </c>
      <c r="G50" t="s">
        <v>239</v>
      </c>
      <c r="H50" t="str">
        <f t="shared" si="0"/>
        <v xml:space="preserve">    GUID: d0b90cb1-b127-2127-2ec3-76762d0df2f6,</v>
      </c>
      <c r="I50" t="str">
        <f t="shared" si="1"/>
        <v xml:space="preserve">    name: MARKUS,</v>
      </c>
      <c r="J50" t="str">
        <f t="shared" si="2"/>
        <v xml:space="preserve">    category: Chairs,</v>
      </c>
      <c r="K50" t="str">
        <f t="shared" si="3"/>
        <v xml:space="preserve">    price: 795,</v>
      </c>
      <c r="L50" t="str">
        <f t="shared" si="4"/>
        <v xml:space="preserve">    description: Office chair,</v>
      </c>
      <c r="M50" t="str">
        <f t="shared" si="5"/>
        <v xml:space="preserve">    designer: Henrik Preutz</v>
      </c>
      <c r="N50" t="s">
        <v>240</v>
      </c>
    </row>
    <row r="51" spans="1:14" x14ac:dyDescent="0.25">
      <c r="A51" t="s">
        <v>206</v>
      </c>
      <c r="B51" t="s">
        <v>61</v>
      </c>
      <c r="C51" t="s">
        <v>51</v>
      </c>
      <c r="D51">
        <v>59</v>
      </c>
      <c r="E51" t="s">
        <v>126</v>
      </c>
      <c r="F51" t="s">
        <v>56</v>
      </c>
      <c r="G51" t="s">
        <v>239</v>
      </c>
      <c r="H51" t="str">
        <f t="shared" si="0"/>
        <v xml:space="preserve">    GUID: c8dab26b-6a08-4906-e295-f336e57236ef,</v>
      </c>
      <c r="I51" t="str">
        <f t="shared" si="1"/>
        <v xml:space="preserve">    name: BEKVAM,</v>
      </c>
      <c r="J51" t="str">
        <f t="shared" si="2"/>
        <v xml:space="preserve">    category: Chairs,</v>
      </c>
      <c r="K51" t="str">
        <f t="shared" si="3"/>
        <v xml:space="preserve">    price: 59,</v>
      </c>
      <c r="L51" t="str">
        <f t="shared" si="4"/>
        <v xml:space="preserve">    description: Step stool, 50 cm,</v>
      </c>
      <c r="M51" t="str">
        <f t="shared" si="5"/>
        <v xml:space="preserve">    designer: Nike Karlsson</v>
      </c>
      <c r="N51" t="s">
        <v>240</v>
      </c>
    </row>
    <row r="52" spans="1:14" x14ac:dyDescent="0.25">
      <c r="A52" t="s">
        <v>207</v>
      </c>
      <c r="B52" t="s">
        <v>62</v>
      </c>
      <c r="C52" t="s">
        <v>63</v>
      </c>
      <c r="D52">
        <v>135</v>
      </c>
      <c r="E52" t="s">
        <v>127</v>
      </c>
      <c r="F52" t="s">
        <v>41</v>
      </c>
      <c r="G52" t="s">
        <v>239</v>
      </c>
      <c r="H52" t="str">
        <f t="shared" si="0"/>
        <v xml:space="preserve">    GUID: 34d8f0f3-1652-f249-d950-f2cda79f9ec3,</v>
      </c>
      <c r="I52" t="str">
        <f t="shared" si="1"/>
        <v xml:space="preserve">    name: JONAXEL,</v>
      </c>
      <c r="J52" t="str">
        <f t="shared" si="2"/>
        <v xml:space="preserve">    category: Chests of drawers &amp; drawer units,</v>
      </c>
      <c r="K52" t="str">
        <f t="shared" si="3"/>
        <v xml:space="preserve">    price: 135,</v>
      </c>
      <c r="L52" t="str">
        <f t="shared" si="4"/>
        <v xml:space="preserve">    description: Frame with mesh baskets, 25x51x70 cm,</v>
      </c>
      <c r="M52" t="str">
        <f t="shared" si="5"/>
        <v xml:space="preserve">    designer: IKEA of Sweden</v>
      </c>
      <c r="N52" t="s">
        <v>240</v>
      </c>
    </row>
    <row r="53" spans="1:14" x14ac:dyDescent="0.25">
      <c r="A53" t="s">
        <v>208</v>
      </c>
      <c r="B53" t="s">
        <v>64</v>
      </c>
      <c r="C53" t="s">
        <v>63</v>
      </c>
      <c r="D53">
        <v>1295</v>
      </c>
      <c r="E53" t="s">
        <v>128</v>
      </c>
      <c r="F53" t="s">
        <v>65</v>
      </c>
      <c r="G53" t="s">
        <v>239</v>
      </c>
      <c r="H53" t="str">
        <f t="shared" si="0"/>
        <v xml:space="preserve">    GUID: 783cb406-038d-1125-a791-7242f7ee157c,</v>
      </c>
      <c r="I53" t="str">
        <f t="shared" si="1"/>
        <v xml:space="preserve">    name: BRYGGJA,</v>
      </c>
      <c r="J53" t="str">
        <f t="shared" si="2"/>
        <v xml:space="preserve">    category: Chests of drawers &amp; drawer units,</v>
      </c>
      <c r="K53" t="str">
        <f t="shared" si="3"/>
        <v xml:space="preserve">    price: 1295,</v>
      </c>
      <c r="L53" t="str">
        <f t="shared" si="4"/>
        <v xml:space="preserve">    description: Chest of 9 drawers, 118x92 cm,</v>
      </c>
      <c r="M53" t="str">
        <f t="shared" si="5"/>
        <v xml:space="preserve">    designer: Ola Wihlborg</v>
      </c>
      <c r="N53" t="s">
        <v>240</v>
      </c>
    </row>
    <row r="54" spans="1:14" x14ac:dyDescent="0.25">
      <c r="A54" t="s">
        <v>209</v>
      </c>
      <c r="B54" t="s">
        <v>66</v>
      </c>
      <c r="C54" t="s">
        <v>63</v>
      </c>
      <c r="D54">
        <v>175</v>
      </c>
      <c r="E54" t="s">
        <v>129</v>
      </c>
      <c r="F54" t="s">
        <v>41</v>
      </c>
      <c r="G54" t="s">
        <v>239</v>
      </c>
      <c r="H54" t="str">
        <f t="shared" si="0"/>
        <v xml:space="preserve">    GUID: 71000181-574d-df9e-ae13-9a0f18c74d49,</v>
      </c>
      <c r="I54" t="str">
        <f t="shared" si="1"/>
        <v xml:space="preserve">    name: HELMER,</v>
      </c>
      <c r="J54" t="str">
        <f t="shared" si="2"/>
        <v xml:space="preserve">    category: Chests of drawers &amp; drawer units,</v>
      </c>
      <c r="K54" t="str">
        <f t="shared" si="3"/>
        <v xml:space="preserve">    price: 175,</v>
      </c>
      <c r="L54" t="str">
        <f t="shared" si="4"/>
        <v xml:space="preserve">    description: Drawer unit on castors, 28x69 cm,</v>
      </c>
      <c r="M54" t="str">
        <f t="shared" si="5"/>
        <v xml:space="preserve">    designer: IKEA of Sweden</v>
      </c>
      <c r="N54" t="s">
        <v>240</v>
      </c>
    </row>
    <row r="55" spans="1:14" x14ac:dyDescent="0.25">
      <c r="A55" t="s">
        <v>210</v>
      </c>
      <c r="B55" t="s">
        <v>67</v>
      </c>
      <c r="C55" t="s">
        <v>63</v>
      </c>
      <c r="D55">
        <v>443</v>
      </c>
      <c r="E55" t="s">
        <v>130</v>
      </c>
      <c r="F55" t="s">
        <v>68</v>
      </c>
      <c r="G55" t="s">
        <v>239</v>
      </c>
      <c r="H55" t="str">
        <f t="shared" si="0"/>
        <v xml:space="preserve">    GUID: b7f71334-9585-f357-1c0e-74887816e8b7,</v>
      </c>
      <c r="I55" t="str">
        <f t="shared" si="1"/>
        <v xml:space="preserve">    name: PLATSA,</v>
      </c>
      <c r="J55" t="str">
        <f t="shared" si="2"/>
        <v xml:space="preserve">    category: Chests of drawers &amp; drawer units,</v>
      </c>
      <c r="K55" t="str">
        <f t="shared" si="3"/>
        <v xml:space="preserve">    price: 443,</v>
      </c>
      <c r="L55" t="str">
        <f t="shared" si="4"/>
        <v xml:space="preserve">    description: Chest of 2 drawers, 60x42x91 cm,</v>
      </c>
      <c r="M55" t="str">
        <f t="shared" si="5"/>
        <v xml:space="preserve">    designer: IKEA of Sweden/Ola Wihlborg</v>
      </c>
      <c r="N55" t="s">
        <v>240</v>
      </c>
    </row>
    <row r="56" spans="1:14" x14ac:dyDescent="0.25">
      <c r="A56" t="s">
        <v>211</v>
      </c>
      <c r="B56" t="s">
        <v>69</v>
      </c>
      <c r="C56" t="s">
        <v>63</v>
      </c>
      <c r="D56">
        <v>49</v>
      </c>
      <c r="E56" t="s">
        <v>131</v>
      </c>
      <c r="F56" t="s">
        <v>28</v>
      </c>
      <c r="G56" t="s">
        <v>239</v>
      </c>
      <c r="H56" t="str">
        <f t="shared" si="0"/>
        <v xml:space="preserve">    GUID: ff3df96d-446b-48c6-5976-21c3bed56ab0,</v>
      </c>
      <c r="I56" t="str">
        <f t="shared" si="1"/>
        <v xml:space="preserve">    name: LENNART,</v>
      </c>
      <c r="J56" t="str">
        <f t="shared" si="2"/>
        <v xml:space="preserve">    category: Chests of drawers &amp; drawer units,</v>
      </c>
      <c r="K56" t="str">
        <f t="shared" si="3"/>
        <v xml:space="preserve">    price: 49,</v>
      </c>
      <c r="L56" t="str">
        <f t="shared" si="4"/>
        <v xml:space="preserve">    description: Drawer unit,</v>
      </c>
      <c r="M56" t="str">
        <f t="shared" si="5"/>
        <v xml:space="preserve">    designer: Jon Karlsson</v>
      </c>
      <c r="N56" t="s">
        <v>240</v>
      </c>
    </row>
    <row r="57" spans="1:14" x14ac:dyDescent="0.25">
      <c r="A57" t="s">
        <v>212</v>
      </c>
      <c r="B57" t="s">
        <v>70</v>
      </c>
      <c r="C57" t="s">
        <v>63</v>
      </c>
      <c r="D57">
        <v>555</v>
      </c>
      <c r="E57" t="s">
        <v>132</v>
      </c>
      <c r="F57" t="s">
        <v>41</v>
      </c>
      <c r="G57" t="s">
        <v>239</v>
      </c>
      <c r="H57" t="str">
        <f t="shared" si="0"/>
        <v xml:space="preserve">    GUID: d5172b57-f80f-c7e0-7a7b-6be8e4ac18f0,</v>
      </c>
      <c r="I57" t="str">
        <f t="shared" si="1"/>
        <v xml:space="preserve">    name: MALM,</v>
      </c>
      <c r="J57" t="str">
        <f t="shared" si="2"/>
        <v xml:space="preserve">    category: Chests of drawers &amp; drawer units,</v>
      </c>
      <c r="K57" t="str">
        <f t="shared" si="3"/>
        <v xml:space="preserve">    price: 555,</v>
      </c>
      <c r="L57" t="str">
        <f t="shared" si="4"/>
        <v xml:space="preserve">    description: Chest of 6 drawers, 160x78 cm,</v>
      </c>
      <c r="M57" t="str">
        <f t="shared" si="5"/>
        <v xml:space="preserve">    designer: IKEA of Sweden</v>
      </c>
      <c r="N57" t="s">
        <v>240</v>
      </c>
    </row>
    <row r="58" spans="1:14" x14ac:dyDescent="0.25">
      <c r="A58" t="s">
        <v>213</v>
      </c>
      <c r="B58" t="s">
        <v>71</v>
      </c>
      <c r="C58" t="s">
        <v>63</v>
      </c>
      <c r="D58">
        <v>139</v>
      </c>
      <c r="E58" t="s">
        <v>133</v>
      </c>
      <c r="F58" t="s">
        <v>41</v>
      </c>
      <c r="G58" t="s">
        <v>239</v>
      </c>
      <c r="H58" t="str">
        <f t="shared" si="0"/>
        <v xml:space="preserve">    GUID: 90858ffa-a85f-292c-fc30-0e0ff690428d,</v>
      </c>
      <c r="I58" t="str">
        <f t="shared" si="1"/>
        <v xml:space="preserve">    name: RAST,</v>
      </c>
      <c r="J58" t="str">
        <f t="shared" si="2"/>
        <v xml:space="preserve">    category: Chests of drawers &amp; drawer units,</v>
      </c>
      <c r="K58" t="str">
        <f t="shared" si="3"/>
        <v xml:space="preserve">    price: 139,</v>
      </c>
      <c r="L58" t="str">
        <f t="shared" si="4"/>
        <v xml:space="preserve">    description: Chest of 3 drawers, 62x70 cm,</v>
      </c>
      <c r="M58" t="str">
        <f t="shared" si="5"/>
        <v xml:space="preserve">    designer: IKEA of Sweden</v>
      </c>
      <c r="N58" t="s">
        <v>240</v>
      </c>
    </row>
    <row r="59" spans="1:14" x14ac:dyDescent="0.25">
      <c r="A59" t="s">
        <v>214</v>
      </c>
      <c r="B59" t="s">
        <v>72</v>
      </c>
      <c r="C59" t="s">
        <v>63</v>
      </c>
      <c r="D59">
        <v>695</v>
      </c>
      <c r="E59" t="s">
        <v>134</v>
      </c>
      <c r="F59" t="s">
        <v>41</v>
      </c>
      <c r="G59" t="s">
        <v>239</v>
      </c>
      <c r="H59" t="str">
        <f t="shared" si="0"/>
        <v xml:space="preserve">    GUID: c876e746-2451-c0ac-9a6d-040dd371793e,</v>
      </c>
      <c r="I59" t="str">
        <f t="shared" si="1"/>
        <v xml:space="preserve">    name: SONGESAND,</v>
      </c>
      <c r="J59" t="str">
        <f t="shared" si="2"/>
        <v xml:space="preserve">    category: Chests of drawers &amp; drawer units,</v>
      </c>
      <c r="K59" t="str">
        <f t="shared" si="3"/>
        <v xml:space="preserve">    price: 695,</v>
      </c>
      <c r="L59" t="str">
        <f t="shared" si="4"/>
        <v xml:space="preserve">    description: Chest of 6 drawers, 161x81 cm,</v>
      </c>
      <c r="M59" t="str">
        <f t="shared" si="5"/>
        <v xml:space="preserve">    designer: IKEA of Sweden</v>
      </c>
      <c r="N59" t="s">
        <v>240</v>
      </c>
    </row>
    <row r="60" spans="1:14" x14ac:dyDescent="0.25">
      <c r="A60" t="s">
        <v>215</v>
      </c>
      <c r="B60" t="s">
        <v>70</v>
      </c>
      <c r="C60" t="s">
        <v>63</v>
      </c>
      <c r="D60">
        <v>295</v>
      </c>
      <c r="E60" t="s">
        <v>135</v>
      </c>
      <c r="F60" t="s">
        <v>41</v>
      </c>
      <c r="G60" t="s">
        <v>239</v>
      </c>
      <c r="H60" t="str">
        <f t="shared" si="0"/>
        <v xml:space="preserve">    GUID: 3590f6b0-d806-376b-4f6e-c145d5fbae4e,</v>
      </c>
      <c r="I60" t="str">
        <f t="shared" si="1"/>
        <v xml:space="preserve">    name: MALM,</v>
      </c>
      <c r="J60" t="str">
        <f t="shared" si="2"/>
        <v xml:space="preserve">    category: Chests of drawers &amp; drawer units,</v>
      </c>
      <c r="K60" t="str">
        <f t="shared" si="3"/>
        <v xml:space="preserve">    price: 295,</v>
      </c>
      <c r="L60" t="str">
        <f t="shared" si="4"/>
        <v xml:space="preserve">    description: Chest of 3 drawers, 80x78 cm,</v>
      </c>
      <c r="M60" t="str">
        <f t="shared" si="5"/>
        <v xml:space="preserve">    designer: IKEA of Sweden</v>
      </c>
      <c r="N60" t="s">
        <v>240</v>
      </c>
    </row>
    <row r="61" spans="1:14" x14ac:dyDescent="0.25">
      <c r="A61" t="s">
        <v>216</v>
      </c>
      <c r="B61" t="s">
        <v>73</v>
      </c>
      <c r="C61" t="s">
        <v>63</v>
      </c>
      <c r="D61">
        <v>395</v>
      </c>
      <c r="E61" t="s">
        <v>136</v>
      </c>
      <c r="F61" t="s">
        <v>19</v>
      </c>
      <c r="G61" t="s">
        <v>239</v>
      </c>
      <c r="H61" t="str">
        <f t="shared" si="0"/>
        <v xml:space="preserve">    GUID: bb405725-f3fa-f5db-215f-1068893f6daf,</v>
      </c>
      <c r="I61" t="str">
        <f t="shared" si="1"/>
        <v xml:space="preserve">    name: KOPPANG,</v>
      </c>
      <c r="J61" t="str">
        <f t="shared" si="2"/>
        <v xml:space="preserve">    category: Chests of drawers &amp; drawer units,</v>
      </c>
      <c r="K61" t="str">
        <f t="shared" si="3"/>
        <v xml:space="preserve">    price: 395,</v>
      </c>
      <c r="L61" t="str">
        <f t="shared" si="4"/>
        <v xml:space="preserve">    description: Chest of 3 drawers, 90x83 cm,</v>
      </c>
      <c r="M61" t="str">
        <f t="shared" si="5"/>
        <v xml:space="preserve">    designer: K Hagberg/M Hagberg</v>
      </c>
      <c r="N61" t="s">
        <v>240</v>
      </c>
    </row>
    <row r="62" spans="1:14" x14ac:dyDescent="0.25">
      <c r="A62" t="s">
        <v>217</v>
      </c>
      <c r="B62" t="s">
        <v>6</v>
      </c>
      <c r="C62" t="s">
        <v>74</v>
      </c>
      <c r="D62">
        <v>101.5</v>
      </c>
      <c r="E62" t="s">
        <v>137</v>
      </c>
      <c r="F62" t="s">
        <v>28</v>
      </c>
      <c r="G62" t="s">
        <v>239</v>
      </c>
      <c r="H62" t="str">
        <f t="shared" si="0"/>
        <v xml:space="preserve">    GUID: 84152b58-8b87-31a0-5580-fd894be80e41,</v>
      </c>
      <c r="I62" t="str">
        <f t="shared" si="1"/>
        <v xml:space="preserve">    name: FREKVENS,</v>
      </c>
      <c r="J62" t="str">
        <f t="shared" si="2"/>
        <v xml:space="preserve">    category: Tables &amp; desks,</v>
      </c>
      <c r="K62" t="str">
        <f t="shared" si="3"/>
        <v xml:space="preserve">    price: 101.5,</v>
      </c>
      <c r="L62" t="str">
        <f t="shared" si="4"/>
        <v xml:space="preserve">    description: Side table, 66x32 cm,</v>
      </c>
      <c r="M62" t="str">
        <f t="shared" si="5"/>
        <v xml:space="preserve">    designer: Jon Karlsson</v>
      </c>
      <c r="N62" t="s">
        <v>240</v>
      </c>
    </row>
    <row r="63" spans="1:14" x14ac:dyDescent="0.25">
      <c r="A63" t="s">
        <v>218</v>
      </c>
      <c r="B63" t="s">
        <v>75</v>
      </c>
      <c r="C63" t="s">
        <v>74</v>
      </c>
      <c r="D63">
        <v>995</v>
      </c>
      <c r="E63" t="s">
        <v>138</v>
      </c>
      <c r="F63" t="s">
        <v>65</v>
      </c>
      <c r="G63" t="s">
        <v>239</v>
      </c>
      <c r="H63" t="str">
        <f t="shared" si="0"/>
        <v xml:space="preserve">    GUID: a451fbc8-e82a-4af7-cb9e-d4bee9e12415,</v>
      </c>
      <c r="I63" t="str">
        <f t="shared" si="1"/>
        <v xml:space="preserve">    name: STOCKHOLM,</v>
      </c>
      <c r="J63" t="str">
        <f t="shared" si="2"/>
        <v xml:space="preserve">    category: Tables &amp; desks,</v>
      </c>
      <c r="K63" t="str">
        <f t="shared" si="3"/>
        <v xml:space="preserve">    price: 995,</v>
      </c>
      <c r="L63" t="str">
        <f t="shared" si="4"/>
        <v xml:space="preserve">    description: Coffee table, 180x59 cm,</v>
      </c>
      <c r="M63" t="str">
        <f t="shared" si="5"/>
        <v xml:space="preserve">    designer: Ola Wihlborg</v>
      </c>
      <c r="N63" t="s">
        <v>240</v>
      </c>
    </row>
    <row r="64" spans="1:14" x14ac:dyDescent="0.25">
      <c r="A64" t="s">
        <v>219</v>
      </c>
      <c r="B64" t="s">
        <v>76</v>
      </c>
      <c r="C64" t="s">
        <v>74</v>
      </c>
      <c r="D64">
        <v>200</v>
      </c>
      <c r="E64" t="s">
        <v>139</v>
      </c>
      <c r="F64" t="s">
        <v>77</v>
      </c>
      <c r="G64" t="s">
        <v>239</v>
      </c>
      <c r="H64" t="str">
        <f t="shared" si="0"/>
        <v xml:space="preserve">    GUID: 056c5537-d7da-be46-b917-02a9d8605081,</v>
      </c>
      <c r="I64" t="str">
        <f t="shared" si="1"/>
        <v xml:space="preserve">    name: ALEX,</v>
      </c>
      <c r="J64" t="str">
        <f t="shared" si="2"/>
        <v xml:space="preserve">    category: Tables &amp; desks,</v>
      </c>
      <c r="K64" t="str">
        <f t="shared" si="3"/>
        <v xml:space="preserve">    price: 200,</v>
      </c>
      <c r="L64" t="str">
        <f t="shared" si="4"/>
        <v xml:space="preserve">    description: Add-on unit, 120x10 cm,</v>
      </c>
      <c r="M64" t="str">
        <f t="shared" si="5"/>
        <v xml:space="preserve">    designer: Johanna Asshoff</v>
      </c>
      <c r="N64" t="s">
        <v>240</v>
      </c>
    </row>
    <row r="65" spans="1:14" x14ac:dyDescent="0.25">
      <c r="A65" t="s">
        <v>220</v>
      </c>
      <c r="B65" t="s">
        <v>78</v>
      </c>
      <c r="C65" t="s">
        <v>74</v>
      </c>
      <c r="D65">
        <v>550</v>
      </c>
      <c r="E65" t="s">
        <v>140</v>
      </c>
      <c r="F65" t="s">
        <v>79</v>
      </c>
      <c r="G65" t="s">
        <v>239</v>
      </c>
      <c r="H65" t="str">
        <f t="shared" si="0"/>
        <v xml:space="preserve">    GUID: da5ba7f4-1a2d-99aa-7838-e04e0f27f829,</v>
      </c>
      <c r="I65" t="str">
        <f t="shared" si="1"/>
        <v xml:space="preserve">    name: LINNMON / ALEX,</v>
      </c>
      <c r="J65" t="str">
        <f t="shared" si="2"/>
        <v xml:space="preserve">    category: Tables &amp; desks,</v>
      </c>
      <c r="K65" t="str">
        <f t="shared" si="3"/>
        <v xml:space="preserve">    price: 550,</v>
      </c>
      <c r="L65" t="str">
        <f t="shared" si="4"/>
        <v xml:space="preserve">    description: Table, 150x75 cm,</v>
      </c>
      <c r="M65" t="str">
        <f t="shared" si="5"/>
        <v xml:space="preserve">    designer: IKEA of Sweden/Johanna Asshoff</v>
      </c>
      <c r="N65" t="s">
        <v>240</v>
      </c>
    </row>
    <row r="66" spans="1:14" x14ac:dyDescent="0.25">
      <c r="A66" t="s">
        <v>221</v>
      </c>
      <c r="B66" t="s">
        <v>80</v>
      </c>
      <c r="C66" t="s">
        <v>74</v>
      </c>
      <c r="D66">
        <v>359</v>
      </c>
      <c r="E66" t="s">
        <v>141</v>
      </c>
      <c r="F66" t="s">
        <v>81</v>
      </c>
      <c r="G66" t="s">
        <v>239</v>
      </c>
      <c r="H66" t="str">
        <f t="shared" si="0"/>
        <v xml:space="preserve">    GUID: 67f88f13-de43-7a28-5571-175b773f243c,</v>
      </c>
      <c r="I66" t="str">
        <f t="shared" si="1"/>
        <v xml:space="preserve">    name: MELLTORP / ADDE,</v>
      </c>
      <c r="J66" t="str">
        <f t="shared" si="2"/>
        <v xml:space="preserve">    category: Tables &amp; desks,</v>
      </c>
      <c r="K66" t="str">
        <f t="shared" si="3"/>
        <v xml:space="preserve">    price: 359,</v>
      </c>
      <c r="L66" t="str">
        <f t="shared" si="4"/>
        <v xml:space="preserve">    description: Table and 4 chairs, 125 cm,</v>
      </c>
      <c r="M66" t="str">
        <f t="shared" si="5"/>
        <v xml:space="preserve">    designer: Marcus Arvonen/Lisa Norinder</v>
      </c>
      <c r="N66" t="s">
        <v>240</v>
      </c>
    </row>
    <row r="67" spans="1:14" x14ac:dyDescent="0.25">
      <c r="A67" t="s">
        <v>222</v>
      </c>
      <c r="B67" t="s">
        <v>31</v>
      </c>
      <c r="C67" t="s">
        <v>74</v>
      </c>
      <c r="D67">
        <v>595</v>
      </c>
      <c r="E67" t="s">
        <v>142</v>
      </c>
      <c r="F67" t="s">
        <v>17</v>
      </c>
      <c r="G67" t="s">
        <v>239</v>
      </c>
      <c r="H67" t="str">
        <f t="shared" ref="H67:H81" si="6">_xlfn.CONCAT("    ",$A$1,":"," ",A67,",")</f>
        <v xml:space="preserve">    GUID: cf2ea24b-cb2b-7388-9118-d51044cd7db6,</v>
      </c>
      <c r="I67" t="str">
        <f t="shared" ref="I67:I81" si="7">_xlfn.CONCAT("    ",$B$1,":"," ",B67,",")</f>
        <v xml:space="preserve">    name: HEMNES,</v>
      </c>
      <c r="J67" t="str">
        <f t="shared" ref="J67:J81" si="8">_xlfn.CONCAT("    ",$C$1,":"," ",C67,",")</f>
        <v xml:space="preserve">    category: Tables &amp; desks,</v>
      </c>
      <c r="K67" t="str">
        <f t="shared" ref="K67:K81" si="9">_xlfn.CONCAT("    ",$D$1,":"," ",D67,",")</f>
        <v xml:space="preserve">    price: 595,</v>
      </c>
      <c r="L67" t="str">
        <f t="shared" ref="L67:L81" si="10">_xlfn.CONCAT("    ",$E$1,":"," ",E67,",")</f>
        <v xml:space="preserve">    description: Dressing table with mirror, 100x50 cm,</v>
      </c>
      <c r="M67" t="str">
        <f t="shared" ref="M67:M81" si="11">_xlfn.CONCAT("    ",$F$1,":"," ",F67)</f>
        <v xml:space="preserve">    designer: Carina Bengs</v>
      </c>
      <c r="N67" t="s">
        <v>240</v>
      </c>
    </row>
    <row r="68" spans="1:14" x14ac:dyDescent="0.25">
      <c r="A68" t="s">
        <v>223</v>
      </c>
      <c r="B68" t="s">
        <v>82</v>
      </c>
      <c r="C68" t="s">
        <v>74</v>
      </c>
      <c r="D68">
        <v>300</v>
      </c>
      <c r="E68" t="s">
        <v>143</v>
      </c>
      <c r="F68" t="s">
        <v>41</v>
      </c>
      <c r="G68" t="s">
        <v>239</v>
      </c>
      <c r="H68" t="str">
        <f t="shared" si="6"/>
        <v xml:space="preserve">    GUID: e1ed5665-38f3-10de-dd20-4fd6aa8118f5,</v>
      </c>
      <c r="I68" t="str">
        <f t="shared" si="7"/>
        <v xml:space="preserve">    name: LINNMON / ADILS,</v>
      </c>
      <c r="J68" t="str">
        <f t="shared" si="8"/>
        <v xml:space="preserve">    category: Tables &amp; desks,</v>
      </c>
      <c r="K68" t="str">
        <f t="shared" si="9"/>
        <v xml:space="preserve">    price: 300,</v>
      </c>
      <c r="L68" t="str">
        <f t="shared" si="10"/>
        <v xml:space="preserve">    description: Table, 200x60 cm,</v>
      </c>
      <c r="M68" t="str">
        <f t="shared" si="11"/>
        <v xml:space="preserve">    designer: IKEA of Sweden</v>
      </c>
      <c r="N68" t="s">
        <v>240</v>
      </c>
    </row>
    <row r="69" spans="1:14" x14ac:dyDescent="0.25">
      <c r="A69" t="s">
        <v>224</v>
      </c>
      <c r="B69" t="s">
        <v>76</v>
      </c>
      <c r="C69" t="s">
        <v>74</v>
      </c>
      <c r="D69">
        <v>795</v>
      </c>
      <c r="E69" t="s">
        <v>144</v>
      </c>
      <c r="F69" t="s">
        <v>77</v>
      </c>
      <c r="G69" t="s">
        <v>239</v>
      </c>
      <c r="H69" t="str">
        <f t="shared" si="6"/>
        <v xml:space="preserve">    GUID: e3c1e74c-23e1-dbf9-30dc-b9e6d1b4277f,</v>
      </c>
      <c r="I69" t="str">
        <f t="shared" si="7"/>
        <v xml:space="preserve">    name: ALEX,</v>
      </c>
      <c r="J69" t="str">
        <f t="shared" si="8"/>
        <v xml:space="preserve">    category: Tables &amp; desks,</v>
      </c>
      <c r="K69" t="str">
        <f t="shared" si="9"/>
        <v xml:space="preserve">    price: 795,</v>
      </c>
      <c r="L69" t="str">
        <f t="shared" si="10"/>
        <v xml:space="preserve">    description: Desk, 131x60 cm,</v>
      </c>
      <c r="M69" t="str">
        <f t="shared" si="11"/>
        <v xml:space="preserve">    designer: Johanna Asshoff</v>
      </c>
      <c r="N69" t="s">
        <v>240</v>
      </c>
    </row>
    <row r="70" spans="1:14" x14ac:dyDescent="0.25">
      <c r="A70" t="s">
        <v>225</v>
      </c>
      <c r="B70" t="s">
        <v>83</v>
      </c>
      <c r="C70" t="s">
        <v>74</v>
      </c>
      <c r="D70">
        <v>129</v>
      </c>
      <c r="E70" t="s">
        <v>145</v>
      </c>
      <c r="F70" t="s">
        <v>84</v>
      </c>
      <c r="G70" t="s">
        <v>239</v>
      </c>
      <c r="H70" t="str">
        <f t="shared" si="6"/>
        <v xml:space="preserve">    GUID: ef930011-8ad8-b1eb-38a3-3a70cf8036cd,</v>
      </c>
      <c r="I70" t="str">
        <f t="shared" si="7"/>
        <v xml:space="preserve">    name: BURVIK,</v>
      </c>
      <c r="J70" t="str">
        <f t="shared" si="8"/>
        <v xml:space="preserve">    category: Tables &amp; desks,</v>
      </c>
      <c r="K70" t="str">
        <f t="shared" si="9"/>
        <v xml:space="preserve">    price: 129,</v>
      </c>
      <c r="L70" t="str">
        <f t="shared" si="10"/>
        <v xml:space="preserve">    description: Side table, 38 cm,</v>
      </c>
      <c r="M70" t="str">
        <f t="shared" si="11"/>
        <v xml:space="preserve">    designer: Mikael Axelsson</v>
      </c>
      <c r="N70" t="s">
        <v>240</v>
      </c>
    </row>
    <row r="71" spans="1:14" x14ac:dyDescent="0.25">
      <c r="A71" t="s">
        <v>226</v>
      </c>
      <c r="B71" t="s">
        <v>85</v>
      </c>
      <c r="C71" t="s">
        <v>74</v>
      </c>
      <c r="D71">
        <v>445</v>
      </c>
      <c r="E71" t="s">
        <v>146</v>
      </c>
      <c r="F71" t="s">
        <v>17</v>
      </c>
      <c r="G71" t="s">
        <v>239</v>
      </c>
      <c r="H71" t="str">
        <f t="shared" si="6"/>
        <v xml:space="preserve">    GUID: e0f850c7-2688-9bc3-18d1-d66ff5c141e2,</v>
      </c>
      <c r="I71" t="str">
        <f t="shared" si="7"/>
        <v xml:space="preserve">    name: LIATORP,</v>
      </c>
      <c r="J71" t="str">
        <f t="shared" si="8"/>
        <v xml:space="preserve">    category: Tables &amp; desks,</v>
      </c>
      <c r="K71" t="str">
        <f t="shared" si="9"/>
        <v xml:space="preserve">    price: 445,</v>
      </c>
      <c r="L71" t="str">
        <f t="shared" si="10"/>
        <v xml:space="preserve">    description: Console table, 133x37 cm,</v>
      </c>
      <c r="M71" t="str">
        <f t="shared" si="11"/>
        <v xml:space="preserve">    designer: Carina Bengs</v>
      </c>
      <c r="N71" t="s">
        <v>240</v>
      </c>
    </row>
    <row r="72" spans="1:14" x14ac:dyDescent="0.25">
      <c r="A72" t="s">
        <v>227</v>
      </c>
      <c r="B72" t="s">
        <v>86</v>
      </c>
      <c r="C72" t="s">
        <v>87</v>
      </c>
      <c r="D72">
        <v>1195</v>
      </c>
      <c r="E72" t="s">
        <v>147</v>
      </c>
      <c r="F72" t="s">
        <v>88</v>
      </c>
      <c r="G72" t="s">
        <v>239</v>
      </c>
      <c r="H72" t="str">
        <f t="shared" si="6"/>
        <v xml:space="preserve">    GUID: 67fa35cc-8825-3082-604a-0491f39dcda1,</v>
      </c>
      <c r="I72" t="str">
        <f t="shared" si="7"/>
        <v xml:space="preserve">    name: PAX / FORSAND/VIKEDAL,</v>
      </c>
      <c r="J72" t="str">
        <f t="shared" si="8"/>
        <v xml:space="preserve">    category: Wardrobes,</v>
      </c>
      <c r="K72" t="str">
        <f t="shared" si="9"/>
        <v xml:space="preserve">    price: 1195,</v>
      </c>
      <c r="L72" t="str">
        <f t="shared" si="10"/>
        <v xml:space="preserve">    description: Wardrobe combination, 150x60x201 cm,</v>
      </c>
      <c r="M72" t="str">
        <f t="shared" si="11"/>
        <v xml:space="preserve">    designer: IKEA of Sweden/EhlÃ©n Johansson</v>
      </c>
      <c r="N72" t="s">
        <v>240</v>
      </c>
    </row>
    <row r="73" spans="1:14" x14ac:dyDescent="0.25">
      <c r="A73" t="s">
        <v>228</v>
      </c>
      <c r="B73" t="s">
        <v>67</v>
      </c>
      <c r="C73" t="s">
        <v>87</v>
      </c>
      <c r="D73">
        <v>1259</v>
      </c>
      <c r="E73" t="s">
        <v>148</v>
      </c>
      <c r="F73" t="s">
        <v>89</v>
      </c>
      <c r="G73" t="s">
        <v>239</v>
      </c>
      <c r="H73" t="str">
        <f t="shared" si="6"/>
        <v xml:space="preserve">    GUID: 02f81586-659e-cfc6-3aaf-01194c0fc9d3,</v>
      </c>
      <c r="I73" t="str">
        <f t="shared" si="7"/>
        <v xml:space="preserve">    name: PLATSA,</v>
      </c>
      <c r="J73" t="str">
        <f t="shared" si="8"/>
        <v xml:space="preserve">    category: Wardrobes,</v>
      </c>
      <c r="K73" t="str">
        <f t="shared" si="9"/>
        <v xml:space="preserve">    price: 1259,</v>
      </c>
      <c r="L73" t="str">
        <f t="shared" si="10"/>
        <v xml:space="preserve">    description: Wardrobe with 2 doors+3 drawers, 160x42x181 cm,</v>
      </c>
      <c r="M73" t="str">
        <f t="shared" si="11"/>
        <v xml:space="preserve">    designer: Ola Wihlborg/IKEA of Sweden</v>
      </c>
      <c r="N73" t="s">
        <v>240</v>
      </c>
    </row>
    <row r="74" spans="1:14" x14ac:dyDescent="0.25">
      <c r="A74" t="s">
        <v>229</v>
      </c>
      <c r="B74" t="s">
        <v>67</v>
      </c>
      <c r="C74" t="s">
        <v>87</v>
      </c>
      <c r="D74">
        <v>892</v>
      </c>
      <c r="E74" t="s">
        <v>149</v>
      </c>
      <c r="F74" t="s">
        <v>68</v>
      </c>
      <c r="G74" t="s">
        <v>239</v>
      </c>
      <c r="H74" t="str">
        <f t="shared" si="6"/>
        <v xml:space="preserve">    GUID: ddd5629b-d202-ccbd-b66c-d1330162722b,</v>
      </c>
      <c r="I74" t="str">
        <f t="shared" si="7"/>
        <v xml:space="preserve">    name: PLATSA,</v>
      </c>
      <c r="J74" t="str">
        <f t="shared" si="8"/>
        <v xml:space="preserve">    category: Wardrobes,</v>
      </c>
      <c r="K74" t="str">
        <f t="shared" si="9"/>
        <v xml:space="preserve">    price: 892,</v>
      </c>
      <c r="L74" t="str">
        <f t="shared" si="10"/>
        <v xml:space="preserve">    description: Wardrobe with 3 doors, 140x42x161 cm,</v>
      </c>
      <c r="M74" t="str">
        <f t="shared" si="11"/>
        <v xml:space="preserve">    designer: IKEA of Sweden/Ola Wihlborg</v>
      </c>
      <c r="N74" t="s">
        <v>240</v>
      </c>
    </row>
    <row r="75" spans="1:14" x14ac:dyDescent="0.25">
      <c r="A75" t="s">
        <v>230</v>
      </c>
      <c r="B75" t="s">
        <v>90</v>
      </c>
      <c r="C75" t="s">
        <v>87</v>
      </c>
      <c r="D75">
        <v>449</v>
      </c>
      <c r="E75" t="s">
        <v>150</v>
      </c>
      <c r="F75" t="s">
        <v>41</v>
      </c>
      <c r="G75" t="s">
        <v>239</v>
      </c>
      <c r="H75" t="str">
        <f t="shared" si="6"/>
        <v xml:space="preserve">    GUID: b0d68d70-819b-6a86-f05b-803c66500754,</v>
      </c>
      <c r="I75" t="str">
        <f t="shared" si="7"/>
        <v xml:space="preserve">    name: KLEPPSTAD,</v>
      </c>
      <c r="J75" t="str">
        <f t="shared" si="8"/>
        <v xml:space="preserve">    category: Wardrobes,</v>
      </c>
      <c r="K75" t="str">
        <f t="shared" si="9"/>
        <v xml:space="preserve">    price: 449,</v>
      </c>
      <c r="L75" t="str">
        <f t="shared" si="10"/>
        <v xml:space="preserve">    description: Wardrobe with 3 doors, 117x176 cm,</v>
      </c>
      <c r="M75" t="str">
        <f t="shared" si="11"/>
        <v xml:space="preserve">    designer: IKEA of Sweden</v>
      </c>
      <c r="N75" t="s">
        <v>240</v>
      </c>
    </row>
    <row r="76" spans="1:14" x14ac:dyDescent="0.25">
      <c r="A76" t="s">
        <v>231</v>
      </c>
      <c r="B76" t="s">
        <v>24</v>
      </c>
      <c r="C76" t="s">
        <v>87</v>
      </c>
      <c r="D76">
        <v>645</v>
      </c>
      <c r="E76" t="s">
        <v>151</v>
      </c>
      <c r="F76" t="s">
        <v>19</v>
      </c>
      <c r="G76" t="s">
        <v>239</v>
      </c>
      <c r="H76" t="str">
        <f t="shared" si="6"/>
        <v xml:space="preserve">    GUID: 9af15c25-efb7-b314-6b67-3abdaf00949d,</v>
      </c>
      <c r="I76" t="str">
        <f t="shared" si="7"/>
        <v xml:space="preserve">    name: BRIMNES,</v>
      </c>
      <c r="J76" t="str">
        <f t="shared" si="8"/>
        <v xml:space="preserve">    category: Wardrobes,</v>
      </c>
      <c r="K76" t="str">
        <f t="shared" si="9"/>
        <v xml:space="preserve">    price: 645,</v>
      </c>
      <c r="L76" t="str">
        <f t="shared" si="10"/>
        <v xml:space="preserve">    description: Wardrobe with 3 doors, 117x190 cm,</v>
      </c>
      <c r="M76" t="str">
        <f t="shared" si="11"/>
        <v xml:space="preserve">    designer: K Hagberg/M Hagberg</v>
      </c>
      <c r="N76" t="s">
        <v>240</v>
      </c>
    </row>
    <row r="77" spans="1:14" x14ac:dyDescent="0.25">
      <c r="A77" t="s">
        <v>232</v>
      </c>
      <c r="B77" t="s">
        <v>90</v>
      </c>
      <c r="C77" t="s">
        <v>87</v>
      </c>
      <c r="D77">
        <v>349</v>
      </c>
      <c r="E77" t="s">
        <v>152</v>
      </c>
      <c r="F77" t="s">
        <v>41</v>
      </c>
      <c r="G77" t="s">
        <v>239</v>
      </c>
      <c r="H77" t="str">
        <f t="shared" si="6"/>
        <v xml:space="preserve">    GUID: 36916091-6f73-3a2c-ef19-5a2903e812b3,</v>
      </c>
      <c r="I77" t="str">
        <f t="shared" si="7"/>
        <v xml:space="preserve">    name: KLEPPSTAD,</v>
      </c>
      <c r="J77" t="str">
        <f t="shared" si="8"/>
        <v xml:space="preserve">    category: Wardrobes,</v>
      </c>
      <c r="K77" t="str">
        <f t="shared" si="9"/>
        <v xml:space="preserve">    price: 349,</v>
      </c>
      <c r="L77" t="str">
        <f t="shared" si="10"/>
        <v xml:space="preserve">    description: Wardrobe with 2 doors, 79x176 cm,</v>
      </c>
      <c r="M77" t="str">
        <f t="shared" si="11"/>
        <v xml:space="preserve">    designer: IKEA of Sweden</v>
      </c>
      <c r="N77" t="s">
        <v>240</v>
      </c>
    </row>
    <row r="78" spans="1:14" x14ac:dyDescent="0.25">
      <c r="A78" t="s">
        <v>233</v>
      </c>
      <c r="B78" t="s">
        <v>67</v>
      </c>
      <c r="C78" t="s">
        <v>87</v>
      </c>
      <c r="D78">
        <v>2740</v>
      </c>
      <c r="E78" t="s">
        <v>153</v>
      </c>
      <c r="F78" t="s">
        <v>41</v>
      </c>
      <c r="G78" t="s">
        <v>239</v>
      </c>
      <c r="H78" t="str">
        <f t="shared" si="6"/>
        <v xml:space="preserve">    GUID: 0167d319-823d-faf3-78b8-cff389a91f77,</v>
      </c>
      <c r="I78" t="str">
        <f t="shared" si="7"/>
        <v xml:space="preserve">    name: PLATSA,</v>
      </c>
      <c r="J78" t="str">
        <f t="shared" si="8"/>
        <v xml:space="preserve">    category: Wardrobes,</v>
      </c>
      <c r="K78" t="str">
        <f t="shared" si="9"/>
        <v xml:space="preserve">    price: 2740,</v>
      </c>
      <c r="L78" t="str">
        <f t="shared" si="10"/>
        <v xml:space="preserve">    description: Wardrobe with 7 doors+3 drawers, 240x57x221 cm,</v>
      </c>
      <c r="M78" t="str">
        <f t="shared" si="11"/>
        <v xml:space="preserve">    designer: IKEA of Sweden</v>
      </c>
      <c r="N78" t="s">
        <v>240</v>
      </c>
    </row>
    <row r="79" spans="1:14" x14ac:dyDescent="0.25">
      <c r="A79" t="s">
        <v>234</v>
      </c>
      <c r="B79" t="s">
        <v>91</v>
      </c>
      <c r="C79" t="s">
        <v>87</v>
      </c>
      <c r="D79">
        <v>49</v>
      </c>
      <c r="E79" t="s">
        <v>154</v>
      </c>
      <c r="F79" t="s">
        <v>92</v>
      </c>
      <c r="G79" t="s">
        <v>239</v>
      </c>
      <c r="H79" t="str">
        <f t="shared" si="6"/>
        <v xml:space="preserve">    GUID: b4ba2748-8f0e-3053-c0dc-ba84ffc27e2f,</v>
      </c>
      <c r="I79" t="str">
        <f t="shared" si="7"/>
        <v xml:space="preserve">    name: VUKU,</v>
      </c>
      <c r="J79" t="str">
        <f t="shared" si="8"/>
        <v xml:space="preserve">    category: Wardrobes,</v>
      </c>
      <c r="K79" t="str">
        <f t="shared" si="9"/>
        <v xml:space="preserve">    price: 49,</v>
      </c>
      <c r="L79" t="str">
        <f t="shared" si="10"/>
        <v xml:space="preserve">    description: Wardrobe, 74x51x149 cm,</v>
      </c>
      <c r="M79" t="str">
        <f t="shared" si="11"/>
        <v xml:space="preserve">    designer: J Karlsson/W Chong</v>
      </c>
      <c r="N79" t="s">
        <v>240</v>
      </c>
    </row>
    <row r="80" spans="1:14" x14ac:dyDescent="0.25">
      <c r="A80" t="s">
        <v>235</v>
      </c>
      <c r="B80" t="s">
        <v>93</v>
      </c>
      <c r="C80" t="s">
        <v>87</v>
      </c>
      <c r="D80">
        <v>1510</v>
      </c>
      <c r="E80" t="s">
        <v>155</v>
      </c>
      <c r="F80" t="s">
        <v>94</v>
      </c>
      <c r="G80" t="s">
        <v>239</v>
      </c>
      <c r="H80" t="str">
        <f t="shared" si="6"/>
        <v xml:space="preserve">    GUID: 42ee418f-4aee-91d7-40e9-866b5e6d45f8,</v>
      </c>
      <c r="I80" t="str">
        <f t="shared" si="7"/>
        <v xml:space="preserve">    name: PAX,</v>
      </c>
      <c r="J80" t="str">
        <f t="shared" si="8"/>
        <v xml:space="preserve">    category: Wardrobes,</v>
      </c>
      <c r="K80" t="str">
        <f t="shared" si="9"/>
        <v xml:space="preserve">    price: 1510,</v>
      </c>
      <c r="L80" t="str">
        <f t="shared" si="10"/>
        <v xml:space="preserve">    description: Wardrobe, 150x60x201 cm,</v>
      </c>
      <c r="M80" t="str">
        <f t="shared" si="11"/>
        <v xml:space="preserve">    designer: Ehlaon Johansson/IKEA of Sweden</v>
      </c>
      <c r="N80" t="s">
        <v>240</v>
      </c>
    </row>
    <row r="81" spans="1:14" x14ac:dyDescent="0.25">
      <c r="A81" t="s">
        <v>236</v>
      </c>
      <c r="B81" t="s">
        <v>24</v>
      </c>
      <c r="C81" t="s">
        <v>87</v>
      </c>
      <c r="D81">
        <v>475</v>
      </c>
      <c r="E81" t="s">
        <v>156</v>
      </c>
      <c r="F81" t="s">
        <v>19</v>
      </c>
      <c r="G81" t="s">
        <v>239</v>
      </c>
      <c r="H81" t="str">
        <f t="shared" si="6"/>
        <v xml:space="preserve">    GUID: 6af52c3e-6c75-93c4-4e25-f57d7c474f26,</v>
      </c>
      <c r="I81" t="str">
        <f t="shared" si="7"/>
        <v xml:space="preserve">    name: BRIMNES,</v>
      </c>
      <c r="J81" t="str">
        <f t="shared" si="8"/>
        <v xml:space="preserve">    category: Wardrobes,</v>
      </c>
      <c r="K81" t="str">
        <f t="shared" si="9"/>
        <v xml:space="preserve">    price: 475,</v>
      </c>
      <c r="L81" t="str">
        <f t="shared" si="10"/>
        <v xml:space="preserve">    description: Wardrobe with 2 doors, 78x190 cm,</v>
      </c>
      <c r="M81" t="str">
        <f t="shared" si="11"/>
        <v xml:space="preserve">    designer: K Hagberg/M Hagberg</v>
      </c>
      <c r="N81" t="s">
        <v>240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8A68B-CA6C-4B38-B038-027D84D6A8C3}">
  <sheetPr codeName="Sheet2"/>
  <dimension ref="A2:AF21"/>
  <sheetViews>
    <sheetView topLeftCell="D1" workbookViewId="0">
      <selection activeCell="A21" sqref="A21:AF21"/>
    </sheetView>
  </sheetViews>
  <sheetFormatPr defaultRowHeight="15" x14ac:dyDescent="0.25"/>
  <sheetData>
    <row r="2" spans="1:32" x14ac:dyDescent="0.25">
      <c r="A2" t="s">
        <v>238</v>
      </c>
      <c r="B2" t="s">
        <v>241</v>
      </c>
      <c r="C2" t="s">
        <v>242</v>
      </c>
      <c r="D2" t="s">
        <v>243</v>
      </c>
      <c r="E2" t="s">
        <v>244</v>
      </c>
      <c r="F2" t="s">
        <v>245</v>
      </c>
      <c r="G2" t="s">
        <v>246</v>
      </c>
      <c r="H2" t="s">
        <v>522</v>
      </c>
      <c r="I2" t="s">
        <v>238</v>
      </c>
      <c r="J2" t="s">
        <v>247</v>
      </c>
      <c r="K2" t="s">
        <v>248</v>
      </c>
      <c r="L2" t="s">
        <v>243</v>
      </c>
      <c r="M2" t="s">
        <v>249</v>
      </c>
      <c r="N2" t="s">
        <v>250</v>
      </c>
      <c r="O2" t="s">
        <v>251</v>
      </c>
      <c r="P2" t="s">
        <v>522</v>
      </c>
      <c r="Q2" t="s">
        <v>238</v>
      </c>
      <c r="R2" t="s">
        <v>252</v>
      </c>
      <c r="S2" t="s">
        <v>253</v>
      </c>
      <c r="T2" t="s">
        <v>243</v>
      </c>
      <c r="U2" t="s">
        <v>254</v>
      </c>
      <c r="V2" t="s">
        <v>255</v>
      </c>
      <c r="W2" t="s">
        <v>251</v>
      </c>
      <c r="X2" t="s">
        <v>522</v>
      </c>
      <c r="Y2" t="s">
        <v>238</v>
      </c>
      <c r="Z2" t="s">
        <v>256</v>
      </c>
      <c r="AA2" t="s">
        <v>257</v>
      </c>
      <c r="AB2" t="s">
        <v>243</v>
      </c>
      <c r="AC2" t="s">
        <v>258</v>
      </c>
      <c r="AD2" t="s">
        <v>259</v>
      </c>
      <c r="AE2" t="s">
        <v>260</v>
      </c>
      <c r="AF2" t="s">
        <v>522</v>
      </c>
    </row>
    <row r="3" spans="1:32" x14ac:dyDescent="0.25">
      <c r="A3" t="s">
        <v>238</v>
      </c>
      <c r="B3" t="s">
        <v>261</v>
      </c>
      <c r="C3" t="s">
        <v>262</v>
      </c>
      <c r="D3" t="s">
        <v>243</v>
      </c>
      <c r="E3" t="s">
        <v>263</v>
      </c>
      <c r="F3" t="s">
        <v>264</v>
      </c>
      <c r="G3" t="s">
        <v>265</v>
      </c>
      <c r="H3" t="s">
        <v>522</v>
      </c>
      <c r="I3" t="s">
        <v>238</v>
      </c>
      <c r="J3" t="s">
        <v>266</v>
      </c>
      <c r="K3" t="s">
        <v>267</v>
      </c>
      <c r="L3" t="s">
        <v>243</v>
      </c>
      <c r="M3" t="s">
        <v>268</v>
      </c>
      <c r="N3" t="s">
        <v>269</v>
      </c>
      <c r="O3" t="s">
        <v>270</v>
      </c>
      <c r="P3" t="s">
        <v>522</v>
      </c>
      <c r="Q3" t="s">
        <v>238</v>
      </c>
      <c r="R3" t="s">
        <v>271</v>
      </c>
      <c r="S3" t="s">
        <v>272</v>
      </c>
      <c r="T3" t="s">
        <v>243</v>
      </c>
      <c r="U3" t="s">
        <v>273</v>
      </c>
      <c r="V3" t="s">
        <v>274</v>
      </c>
      <c r="W3" t="s">
        <v>275</v>
      </c>
      <c r="X3" t="s">
        <v>522</v>
      </c>
      <c r="Y3" t="s">
        <v>238</v>
      </c>
      <c r="Z3" t="s">
        <v>276</v>
      </c>
      <c r="AA3" t="s">
        <v>277</v>
      </c>
      <c r="AB3" t="s">
        <v>243</v>
      </c>
      <c r="AC3" t="s">
        <v>278</v>
      </c>
      <c r="AD3" t="s">
        <v>279</v>
      </c>
      <c r="AE3" t="s">
        <v>280</v>
      </c>
      <c r="AF3" t="s">
        <v>522</v>
      </c>
    </row>
    <row r="4" spans="1:32" x14ac:dyDescent="0.25">
      <c r="A4" t="s">
        <v>238</v>
      </c>
      <c r="B4" t="s">
        <v>281</v>
      </c>
      <c r="C4" t="s">
        <v>272</v>
      </c>
      <c r="D4" t="s">
        <v>243</v>
      </c>
      <c r="E4" t="s">
        <v>273</v>
      </c>
      <c r="F4" t="s">
        <v>274</v>
      </c>
      <c r="G4" t="s">
        <v>275</v>
      </c>
      <c r="H4" t="s">
        <v>522</v>
      </c>
      <c r="I4" t="s">
        <v>238</v>
      </c>
      <c r="J4" t="s">
        <v>282</v>
      </c>
      <c r="K4" t="s">
        <v>283</v>
      </c>
      <c r="L4" t="s">
        <v>243</v>
      </c>
      <c r="M4" t="s">
        <v>284</v>
      </c>
      <c r="N4" t="s">
        <v>255</v>
      </c>
      <c r="O4" t="s">
        <v>285</v>
      </c>
      <c r="P4" t="s">
        <v>522</v>
      </c>
      <c r="Q4" t="s">
        <v>238</v>
      </c>
      <c r="R4" t="s">
        <v>286</v>
      </c>
      <c r="S4" t="s">
        <v>287</v>
      </c>
      <c r="T4" t="s">
        <v>288</v>
      </c>
      <c r="U4" t="s">
        <v>289</v>
      </c>
      <c r="V4" t="s">
        <v>290</v>
      </c>
      <c r="W4" t="s">
        <v>291</v>
      </c>
      <c r="X4" t="s">
        <v>522</v>
      </c>
      <c r="Y4" t="s">
        <v>238</v>
      </c>
      <c r="Z4" t="s">
        <v>292</v>
      </c>
      <c r="AA4" t="s">
        <v>293</v>
      </c>
      <c r="AB4" t="s">
        <v>288</v>
      </c>
      <c r="AC4" t="s">
        <v>294</v>
      </c>
      <c r="AD4" t="s">
        <v>295</v>
      </c>
      <c r="AE4" t="s">
        <v>296</v>
      </c>
      <c r="AF4" t="s">
        <v>522</v>
      </c>
    </row>
    <row r="5" spans="1:32" x14ac:dyDescent="0.25">
      <c r="A5" t="s">
        <v>238</v>
      </c>
      <c r="B5" t="s">
        <v>297</v>
      </c>
      <c r="C5" t="s">
        <v>298</v>
      </c>
      <c r="D5" t="s">
        <v>288</v>
      </c>
      <c r="E5" t="s">
        <v>299</v>
      </c>
      <c r="F5" t="s">
        <v>300</v>
      </c>
      <c r="G5" t="s">
        <v>301</v>
      </c>
      <c r="H5" t="s">
        <v>522</v>
      </c>
      <c r="I5" t="s">
        <v>238</v>
      </c>
      <c r="J5" t="s">
        <v>302</v>
      </c>
      <c r="K5" t="s">
        <v>293</v>
      </c>
      <c r="L5" t="s">
        <v>288</v>
      </c>
      <c r="M5" t="s">
        <v>303</v>
      </c>
      <c r="N5" t="s">
        <v>304</v>
      </c>
      <c r="O5" t="s">
        <v>296</v>
      </c>
      <c r="P5" t="s">
        <v>522</v>
      </c>
      <c r="Q5" t="s">
        <v>238</v>
      </c>
      <c r="R5" t="s">
        <v>305</v>
      </c>
      <c r="S5" t="s">
        <v>306</v>
      </c>
      <c r="T5" t="s">
        <v>288</v>
      </c>
      <c r="U5" t="s">
        <v>307</v>
      </c>
      <c r="V5" t="s">
        <v>304</v>
      </c>
      <c r="W5" t="s">
        <v>301</v>
      </c>
      <c r="X5" t="s">
        <v>522</v>
      </c>
      <c r="Y5" t="s">
        <v>238</v>
      </c>
      <c r="Z5" t="s">
        <v>308</v>
      </c>
      <c r="AA5" t="s">
        <v>309</v>
      </c>
      <c r="AB5" t="s">
        <v>288</v>
      </c>
      <c r="AC5" t="s">
        <v>310</v>
      </c>
      <c r="AD5" t="s">
        <v>311</v>
      </c>
      <c r="AE5" t="s">
        <v>312</v>
      </c>
      <c r="AF5" t="s">
        <v>522</v>
      </c>
    </row>
    <row r="6" spans="1:32" x14ac:dyDescent="0.25">
      <c r="A6" t="s">
        <v>238</v>
      </c>
      <c r="B6" t="s">
        <v>313</v>
      </c>
      <c r="C6" t="s">
        <v>293</v>
      </c>
      <c r="D6" t="s">
        <v>288</v>
      </c>
      <c r="E6" t="s">
        <v>303</v>
      </c>
      <c r="F6" t="s">
        <v>295</v>
      </c>
      <c r="G6" t="s">
        <v>314</v>
      </c>
      <c r="H6" t="s">
        <v>522</v>
      </c>
      <c r="I6" t="s">
        <v>238</v>
      </c>
      <c r="J6" t="s">
        <v>315</v>
      </c>
      <c r="K6" t="s">
        <v>316</v>
      </c>
      <c r="L6" t="s">
        <v>288</v>
      </c>
      <c r="M6" t="s">
        <v>317</v>
      </c>
      <c r="N6" t="s">
        <v>304</v>
      </c>
      <c r="O6" t="s">
        <v>318</v>
      </c>
      <c r="P6" t="s">
        <v>522</v>
      </c>
      <c r="Q6" t="s">
        <v>238</v>
      </c>
      <c r="R6" t="s">
        <v>319</v>
      </c>
      <c r="S6" t="s">
        <v>287</v>
      </c>
      <c r="T6" t="s">
        <v>288</v>
      </c>
      <c r="U6" t="s">
        <v>320</v>
      </c>
      <c r="V6" t="s">
        <v>321</v>
      </c>
      <c r="W6" t="s">
        <v>275</v>
      </c>
      <c r="X6" t="s">
        <v>522</v>
      </c>
      <c r="Y6" t="s">
        <v>238</v>
      </c>
      <c r="Z6" t="s">
        <v>322</v>
      </c>
      <c r="AA6" t="s">
        <v>323</v>
      </c>
      <c r="AB6" t="s">
        <v>288</v>
      </c>
      <c r="AC6" t="s">
        <v>324</v>
      </c>
      <c r="AD6" t="s">
        <v>304</v>
      </c>
      <c r="AE6" t="s">
        <v>325</v>
      </c>
      <c r="AF6" t="s">
        <v>522</v>
      </c>
    </row>
    <row r="7" spans="1:32" x14ac:dyDescent="0.25">
      <c r="A7" t="s">
        <v>238</v>
      </c>
      <c r="B7" t="s">
        <v>326</v>
      </c>
      <c r="C7" t="s">
        <v>287</v>
      </c>
      <c r="D7" t="s">
        <v>288</v>
      </c>
      <c r="E7" t="s">
        <v>289</v>
      </c>
      <c r="F7" t="s">
        <v>290</v>
      </c>
      <c r="G7" t="s">
        <v>291</v>
      </c>
      <c r="H7" t="s">
        <v>522</v>
      </c>
      <c r="I7" t="s">
        <v>238</v>
      </c>
      <c r="J7" t="s">
        <v>327</v>
      </c>
      <c r="K7" t="s">
        <v>293</v>
      </c>
      <c r="L7" t="s">
        <v>288</v>
      </c>
      <c r="M7" t="s">
        <v>294</v>
      </c>
      <c r="N7" t="s">
        <v>295</v>
      </c>
      <c r="O7" t="s">
        <v>296</v>
      </c>
      <c r="P7" t="s">
        <v>522</v>
      </c>
      <c r="Q7" t="s">
        <v>238</v>
      </c>
      <c r="R7" t="s">
        <v>328</v>
      </c>
      <c r="S7" t="s">
        <v>298</v>
      </c>
      <c r="T7" t="s">
        <v>288</v>
      </c>
      <c r="U7" t="s">
        <v>299</v>
      </c>
      <c r="V7" t="s">
        <v>300</v>
      </c>
      <c r="W7" t="s">
        <v>301</v>
      </c>
      <c r="X7" t="s">
        <v>522</v>
      </c>
      <c r="Y7" t="s">
        <v>238</v>
      </c>
      <c r="Z7" t="s">
        <v>329</v>
      </c>
      <c r="AA7" t="s">
        <v>293</v>
      </c>
      <c r="AB7" t="s">
        <v>288</v>
      </c>
      <c r="AC7" t="s">
        <v>303</v>
      </c>
      <c r="AD7" t="s">
        <v>304</v>
      </c>
      <c r="AE7" t="s">
        <v>296</v>
      </c>
      <c r="AF7" t="s">
        <v>522</v>
      </c>
    </row>
    <row r="8" spans="1:32" x14ac:dyDescent="0.25">
      <c r="A8" t="s">
        <v>238</v>
      </c>
      <c r="B8" t="s">
        <v>330</v>
      </c>
      <c r="C8" t="s">
        <v>306</v>
      </c>
      <c r="D8" t="s">
        <v>288</v>
      </c>
      <c r="E8" t="s">
        <v>307</v>
      </c>
      <c r="F8" t="s">
        <v>304</v>
      </c>
      <c r="G8" t="s">
        <v>301</v>
      </c>
      <c r="H8" t="s">
        <v>522</v>
      </c>
      <c r="I8" t="s">
        <v>238</v>
      </c>
      <c r="J8" t="s">
        <v>331</v>
      </c>
      <c r="K8" t="s">
        <v>309</v>
      </c>
      <c r="L8" t="s">
        <v>288</v>
      </c>
      <c r="M8" t="s">
        <v>310</v>
      </c>
      <c r="N8" t="s">
        <v>311</v>
      </c>
      <c r="O8" t="s">
        <v>312</v>
      </c>
      <c r="P8" t="s">
        <v>522</v>
      </c>
      <c r="Q8" t="s">
        <v>238</v>
      </c>
      <c r="R8" t="s">
        <v>332</v>
      </c>
      <c r="S8" t="s">
        <v>293</v>
      </c>
      <c r="T8" t="s">
        <v>288</v>
      </c>
      <c r="U8" t="s">
        <v>303</v>
      </c>
      <c r="V8" t="s">
        <v>295</v>
      </c>
      <c r="W8" t="s">
        <v>314</v>
      </c>
      <c r="X8" t="s">
        <v>522</v>
      </c>
      <c r="Y8" t="s">
        <v>238</v>
      </c>
      <c r="Z8" t="s">
        <v>333</v>
      </c>
      <c r="AA8" t="s">
        <v>316</v>
      </c>
      <c r="AB8" t="s">
        <v>288</v>
      </c>
      <c r="AC8" t="s">
        <v>317</v>
      </c>
      <c r="AD8" t="s">
        <v>304</v>
      </c>
      <c r="AE8" t="s">
        <v>318</v>
      </c>
      <c r="AF8" t="s">
        <v>522</v>
      </c>
    </row>
    <row r="9" spans="1:32" x14ac:dyDescent="0.25">
      <c r="A9" t="s">
        <v>238</v>
      </c>
      <c r="B9" t="s">
        <v>334</v>
      </c>
      <c r="C9" t="s">
        <v>287</v>
      </c>
      <c r="D9" t="s">
        <v>288</v>
      </c>
      <c r="E9" t="s">
        <v>320</v>
      </c>
      <c r="F9" t="s">
        <v>321</v>
      </c>
      <c r="G9" t="s">
        <v>275</v>
      </c>
      <c r="H9" t="s">
        <v>522</v>
      </c>
      <c r="I9" t="s">
        <v>238</v>
      </c>
      <c r="J9" t="s">
        <v>335</v>
      </c>
      <c r="K9" t="s">
        <v>323</v>
      </c>
      <c r="L9" t="s">
        <v>288</v>
      </c>
      <c r="M9" t="s">
        <v>324</v>
      </c>
      <c r="N9" t="s">
        <v>304</v>
      </c>
      <c r="O9" t="s">
        <v>325</v>
      </c>
      <c r="P9" t="s">
        <v>522</v>
      </c>
      <c r="Q9" t="s">
        <v>238</v>
      </c>
      <c r="R9" t="s">
        <v>336</v>
      </c>
      <c r="S9" t="s">
        <v>337</v>
      </c>
      <c r="T9" t="s">
        <v>338</v>
      </c>
      <c r="U9" t="s">
        <v>339</v>
      </c>
      <c r="V9" t="s">
        <v>340</v>
      </c>
      <c r="W9" t="s">
        <v>341</v>
      </c>
      <c r="X9" t="s">
        <v>522</v>
      </c>
      <c r="Y9" t="s">
        <v>238</v>
      </c>
      <c r="Z9" t="s">
        <v>342</v>
      </c>
      <c r="AA9" t="s">
        <v>343</v>
      </c>
      <c r="AB9" t="s">
        <v>338</v>
      </c>
      <c r="AC9" t="s">
        <v>344</v>
      </c>
      <c r="AD9" t="s">
        <v>345</v>
      </c>
      <c r="AE9" t="s">
        <v>346</v>
      </c>
      <c r="AF9" t="s">
        <v>522</v>
      </c>
    </row>
    <row r="10" spans="1:32" x14ac:dyDescent="0.25">
      <c r="A10" t="s">
        <v>238</v>
      </c>
      <c r="B10" t="s">
        <v>347</v>
      </c>
      <c r="C10" t="s">
        <v>348</v>
      </c>
      <c r="D10" t="s">
        <v>338</v>
      </c>
      <c r="E10" t="s">
        <v>349</v>
      </c>
      <c r="F10" t="s">
        <v>350</v>
      </c>
      <c r="G10" t="s">
        <v>296</v>
      </c>
      <c r="H10" t="s">
        <v>522</v>
      </c>
      <c r="I10" t="s">
        <v>238</v>
      </c>
      <c r="J10" t="s">
        <v>351</v>
      </c>
      <c r="K10" t="s">
        <v>352</v>
      </c>
      <c r="L10" t="s">
        <v>338</v>
      </c>
      <c r="M10" t="s">
        <v>353</v>
      </c>
      <c r="N10" t="s">
        <v>354</v>
      </c>
      <c r="O10" t="s">
        <v>341</v>
      </c>
      <c r="P10" t="s">
        <v>522</v>
      </c>
      <c r="Q10" t="s">
        <v>238</v>
      </c>
      <c r="R10" t="s">
        <v>355</v>
      </c>
      <c r="S10" t="s">
        <v>356</v>
      </c>
      <c r="T10" t="s">
        <v>338</v>
      </c>
      <c r="U10" t="s">
        <v>357</v>
      </c>
      <c r="V10" t="s">
        <v>358</v>
      </c>
      <c r="W10" t="s">
        <v>251</v>
      </c>
      <c r="X10" t="s">
        <v>522</v>
      </c>
      <c r="Y10" t="s">
        <v>238</v>
      </c>
      <c r="Z10" t="s">
        <v>359</v>
      </c>
      <c r="AA10" t="s">
        <v>360</v>
      </c>
      <c r="AB10" t="s">
        <v>338</v>
      </c>
      <c r="AC10" t="s">
        <v>353</v>
      </c>
      <c r="AD10" t="s">
        <v>361</v>
      </c>
      <c r="AE10" t="s">
        <v>341</v>
      </c>
      <c r="AF10" t="s">
        <v>522</v>
      </c>
    </row>
    <row r="11" spans="1:32" x14ac:dyDescent="0.25">
      <c r="A11" t="s">
        <v>238</v>
      </c>
      <c r="B11" t="s">
        <v>362</v>
      </c>
      <c r="C11" t="s">
        <v>343</v>
      </c>
      <c r="D11" t="s">
        <v>338</v>
      </c>
      <c r="E11" t="s">
        <v>363</v>
      </c>
      <c r="F11" t="s">
        <v>364</v>
      </c>
      <c r="G11" t="s">
        <v>346</v>
      </c>
      <c r="H11" t="s">
        <v>522</v>
      </c>
      <c r="I11" t="s">
        <v>238</v>
      </c>
      <c r="J11" t="s">
        <v>365</v>
      </c>
      <c r="K11" t="s">
        <v>366</v>
      </c>
      <c r="L11" t="s">
        <v>338</v>
      </c>
      <c r="M11" t="s">
        <v>367</v>
      </c>
      <c r="N11" t="s">
        <v>368</v>
      </c>
      <c r="O11" t="s">
        <v>369</v>
      </c>
      <c r="P11" t="s">
        <v>522</v>
      </c>
      <c r="Q11" t="s">
        <v>238</v>
      </c>
      <c r="R11" t="s">
        <v>370</v>
      </c>
      <c r="S11" t="s">
        <v>371</v>
      </c>
      <c r="T11" t="s">
        <v>338</v>
      </c>
      <c r="U11" t="s">
        <v>310</v>
      </c>
      <c r="V11" t="s">
        <v>372</v>
      </c>
      <c r="W11" t="s">
        <v>341</v>
      </c>
      <c r="X11" t="s">
        <v>522</v>
      </c>
      <c r="Y11" t="s">
        <v>238</v>
      </c>
      <c r="Z11" t="s">
        <v>373</v>
      </c>
      <c r="AA11" t="s">
        <v>348</v>
      </c>
      <c r="AB11" t="s">
        <v>338</v>
      </c>
      <c r="AC11" t="s">
        <v>374</v>
      </c>
      <c r="AD11" t="s">
        <v>375</v>
      </c>
      <c r="AE11" t="s">
        <v>314</v>
      </c>
      <c r="AF11" t="s">
        <v>522</v>
      </c>
    </row>
    <row r="12" spans="1:32" x14ac:dyDescent="0.25">
      <c r="A12" t="s">
        <v>238</v>
      </c>
      <c r="B12" t="s">
        <v>376</v>
      </c>
      <c r="C12" t="s">
        <v>267</v>
      </c>
      <c r="D12" t="s">
        <v>377</v>
      </c>
      <c r="E12" t="s">
        <v>278</v>
      </c>
      <c r="F12" t="s">
        <v>378</v>
      </c>
      <c r="G12" t="s">
        <v>270</v>
      </c>
      <c r="H12" t="s">
        <v>522</v>
      </c>
      <c r="I12" t="s">
        <v>238</v>
      </c>
      <c r="J12" t="s">
        <v>379</v>
      </c>
      <c r="K12" t="s">
        <v>380</v>
      </c>
      <c r="L12" t="s">
        <v>377</v>
      </c>
      <c r="M12" t="s">
        <v>381</v>
      </c>
      <c r="N12" t="s">
        <v>378</v>
      </c>
      <c r="O12" t="s">
        <v>251</v>
      </c>
      <c r="P12" t="s">
        <v>522</v>
      </c>
      <c r="Q12" t="s">
        <v>238</v>
      </c>
      <c r="R12" t="s">
        <v>382</v>
      </c>
      <c r="S12" t="s">
        <v>383</v>
      </c>
      <c r="T12" t="s">
        <v>377</v>
      </c>
      <c r="U12" t="s">
        <v>344</v>
      </c>
      <c r="V12" t="s">
        <v>384</v>
      </c>
      <c r="W12" t="s">
        <v>251</v>
      </c>
      <c r="X12" t="s">
        <v>522</v>
      </c>
      <c r="Y12" t="s">
        <v>238</v>
      </c>
      <c r="Z12" t="s">
        <v>385</v>
      </c>
      <c r="AA12" t="s">
        <v>386</v>
      </c>
      <c r="AB12" t="s">
        <v>377</v>
      </c>
      <c r="AC12" t="s">
        <v>289</v>
      </c>
      <c r="AD12" t="s">
        <v>387</v>
      </c>
      <c r="AE12" t="s">
        <v>341</v>
      </c>
      <c r="AF12" t="s">
        <v>522</v>
      </c>
    </row>
    <row r="13" spans="1:32" x14ac:dyDescent="0.25">
      <c r="A13" t="s">
        <v>238</v>
      </c>
      <c r="B13" t="s">
        <v>388</v>
      </c>
      <c r="C13" t="s">
        <v>389</v>
      </c>
      <c r="D13" t="s">
        <v>377</v>
      </c>
      <c r="E13" t="s">
        <v>249</v>
      </c>
      <c r="F13" t="s">
        <v>390</v>
      </c>
      <c r="G13" t="s">
        <v>391</v>
      </c>
      <c r="H13" t="s">
        <v>522</v>
      </c>
      <c r="I13" t="s">
        <v>238</v>
      </c>
      <c r="J13" t="s">
        <v>392</v>
      </c>
      <c r="K13" t="s">
        <v>267</v>
      </c>
      <c r="L13" t="s">
        <v>377</v>
      </c>
      <c r="M13" t="s">
        <v>339</v>
      </c>
      <c r="N13" t="s">
        <v>393</v>
      </c>
      <c r="O13" t="s">
        <v>270</v>
      </c>
      <c r="P13" t="s">
        <v>522</v>
      </c>
      <c r="Q13" t="s">
        <v>238</v>
      </c>
      <c r="R13" t="s">
        <v>394</v>
      </c>
      <c r="S13" t="s">
        <v>395</v>
      </c>
      <c r="T13" t="s">
        <v>377</v>
      </c>
      <c r="U13" t="s">
        <v>396</v>
      </c>
      <c r="V13" t="s">
        <v>397</v>
      </c>
      <c r="W13" t="s">
        <v>260</v>
      </c>
      <c r="X13" t="s">
        <v>522</v>
      </c>
      <c r="Y13" t="s">
        <v>238</v>
      </c>
      <c r="Z13" t="s">
        <v>398</v>
      </c>
      <c r="AA13" t="s">
        <v>399</v>
      </c>
      <c r="AB13" t="s">
        <v>377</v>
      </c>
      <c r="AC13" t="s">
        <v>353</v>
      </c>
      <c r="AD13" t="s">
        <v>400</v>
      </c>
      <c r="AE13" t="s">
        <v>401</v>
      </c>
      <c r="AF13" t="s">
        <v>522</v>
      </c>
    </row>
    <row r="14" spans="1:32" x14ac:dyDescent="0.25">
      <c r="A14" t="s">
        <v>238</v>
      </c>
      <c r="B14" t="s">
        <v>402</v>
      </c>
      <c r="C14" t="s">
        <v>403</v>
      </c>
      <c r="D14" t="s">
        <v>377</v>
      </c>
      <c r="E14" t="s">
        <v>289</v>
      </c>
      <c r="F14" t="s">
        <v>397</v>
      </c>
      <c r="G14" t="s">
        <v>260</v>
      </c>
      <c r="H14" t="s">
        <v>522</v>
      </c>
      <c r="I14" t="s">
        <v>238</v>
      </c>
      <c r="J14" t="s">
        <v>404</v>
      </c>
      <c r="K14" t="s">
        <v>405</v>
      </c>
      <c r="L14" t="s">
        <v>377</v>
      </c>
      <c r="M14" t="s">
        <v>406</v>
      </c>
      <c r="N14" t="s">
        <v>407</v>
      </c>
      <c r="O14" t="s">
        <v>391</v>
      </c>
      <c r="P14" t="s">
        <v>522</v>
      </c>
      <c r="Q14" t="s">
        <v>238</v>
      </c>
      <c r="R14" t="s">
        <v>408</v>
      </c>
      <c r="S14" t="s">
        <v>409</v>
      </c>
      <c r="T14" t="s">
        <v>410</v>
      </c>
      <c r="U14" t="s">
        <v>411</v>
      </c>
      <c r="V14" t="s">
        <v>412</v>
      </c>
      <c r="W14" t="s">
        <v>341</v>
      </c>
      <c r="X14" t="s">
        <v>522</v>
      </c>
      <c r="Y14" t="s">
        <v>238</v>
      </c>
      <c r="Z14" t="s">
        <v>413</v>
      </c>
      <c r="AA14" t="s">
        <v>414</v>
      </c>
      <c r="AB14" t="s">
        <v>410</v>
      </c>
      <c r="AC14" t="s">
        <v>415</v>
      </c>
      <c r="AD14" t="s">
        <v>416</v>
      </c>
      <c r="AE14" t="s">
        <v>417</v>
      </c>
      <c r="AF14" t="s">
        <v>522</v>
      </c>
    </row>
    <row r="15" spans="1:32" x14ac:dyDescent="0.25">
      <c r="A15" t="s">
        <v>238</v>
      </c>
      <c r="B15" t="s">
        <v>418</v>
      </c>
      <c r="C15" t="s">
        <v>419</v>
      </c>
      <c r="D15" t="s">
        <v>410</v>
      </c>
      <c r="E15" t="s">
        <v>339</v>
      </c>
      <c r="F15" t="s">
        <v>420</v>
      </c>
      <c r="G15" t="s">
        <v>341</v>
      </c>
      <c r="H15" t="s">
        <v>522</v>
      </c>
      <c r="I15" t="s">
        <v>238</v>
      </c>
      <c r="J15" t="s">
        <v>421</v>
      </c>
      <c r="K15" t="s">
        <v>422</v>
      </c>
      <c r="L15" t="s">
        <v>410</v>
      </c>
      <c r="M15" t="s">
        <v>423</v>
      </c>
      <c r="N15" t="s">
        <v>424</v>
      </c>
      <c r="O15" t="s">
        <v>425</v>
      </c>
      <c r="P15" t="s">
        <v>522</v>
      </c>
      <c r="Q15" t="s">
        <v>238</v>
      </c>
      <c r="R15" t="s">
        <v>426</v>
      </c>
      <c r="S15" t="s">
        <v>427</v>
      </c>
      <c r="T15" t="s">
        <v>410</v>
      </c>
      <c r="U15" t="s">
        <v>428</v>
      </c>
      <c r="V15" t="s">
        <v>429</v>
      </c>
      <c r="W15" t="s">
        <v>296</v>
      </c>
      <c r="X15" t="s">
        <v>522</v>
      </c>
      <c r="Y15" t="s">
        <v>238</v>
      </c>
      <c r="Z15" t="s">
        <v>430</v>
      </c>
      <c r="AA15" t="s">
        <v>431</v>
      </c>
      <c r="AB15" t="s">
        <v>410</v>
      </c>
      <c r="AC15" t="s">
        <v>432</v>
      </c>
      <c r="AD15" t="s">
        <v>433</v>
      </c>
      <c r="AE15" t="s">
        <v>341</v>
      </c>
      <c r="AF15" t="s">
        <v>522</v>
      </c>
    </row>
    <row r="16" spans="1:32" x14ac:dyDescent="0.25">
      <c r="A16" t="s">
        <v>238</v>
      </c>
      <c r="B16" t="s">
        <v>434</v>
      </c>
      <c r="C16" t="s">
        <v>435</v>
      </c>
      <c r="D16" t="s">
        <v>410</v>
      </c>
      <c r="E16" t="s">
        <v>436</v>
      </c>
      <c r="F16" t="s">
        <v>437</v>
      </c>
      <c r="G16" t="s">
        <v>341</v>
      </c>
      <c r="H16" t="s">
        <v>522</v>
      </c>
      <c r="I16" t="s">
        <v>238</v>
      </c>
      <c r="J16" t="s">
        <v>438</v>
      </c>
      <c r="K16" t="s">
        <v>439</v>
      </c>
      <c r="L16" t="s">
        <v>410</v>
      </c>
      <c r="M16" t="s">
        <v>440</v>
      </c>
      <c r="N16" t="s">
        <v>441</v>
      </c>
      <c r="O16" t="s">
        <v>341</v>
      </c>
      <c r="P16" t="s">
        <v>522</v>
      </c>
      <c r="Q16" t="s">
        <v>238</v>
      </c>
      <c r="R16" t="s">
        <v>442</v>
      </c>
      <c r="S16" t="s">
        <v>431</v>
      </c>
      <c r="T16" t="s">
        <v>410</v>
      </c>
      <c r="U16" t="s">
        <v>353</v>
      </c>
      <c r="V16" t="s">
        <v>443</v>
      </c>
      <c r="W16" t="s">
        <v>341</v>
      </c>
      <c r="X16" t="s">
        <v>522</v>
      </c>
      <c r="Y16" t="s">
        <v>238</v>
      </c>
      <c r="Z16" t="s">
        <v>444</v>
      </c>
      <c r="AA16" t="s">
        <v>445</v>
      </c>
      <c r="AB16" t="s">
        <v>410</v>
      </c>
      <c r="AC16" t="s">
        <v>446</v>
      </c>
      <c r="AD16" t="s">
        <v>447</v>
      </c>
      <c r="AE16" t="s">
        <v>275</v>
      </c>
      <c r="AF16" t="s">
        <v>522</v>
      </c>
    </row>
    <row r="17" spans="1:32" x14ac:dyDescent="0.25">
      <c r="A17" t="s">
        <v>238</v>
      </c>
      <c r="B17" t="s">
        <v>448</v>
      </c>
      <c r="C17" t="s">
        <v>242</v>
      </c>
      <c r="D17" t="s">
        <v>449</v>
      </c>
      <c r="E17" t="s">
        <v>450</v>
      </c>
      <c r="F17" t="s">
        <v>451</v>
      </c>
      <c r="G17" t="s">
        <v>296</v>
      </c>
      <c r="H17" t="s">
        <v>522</v>
      </c>
      <c r="I17" t="s">
        <v>238</v>
      </c>
      <c r="J17" t="s">
        <v>452</v>
      </c>
      <c r="K17" t="s">
        <v>453</v>
      </c>
      <c r="L17" t="s">
        <v>449</v>
      </c>
      <c r="M17" t="s">
        <v>249</v>
      </c>
      <c r="N17" t="s">
        <v>454</v>
      </c>
      <c r="O17" t="s">
        <v>417</v>
      </c>
      <c r="P17" t="s">
        <v>522</v>
      </c>
      <c r="Q17" t="s">
        <v>238</v>
      </c>
      <c r="R17" t="s">
        <v>455</v>
      </c>
      <c r="S17" t="s">
        <v>456</v>
      </c>
      <c r="T17" t="s">
        <v>449</v>
      </c>
      <c r="U17" t="s">
        <v>457</v>
      </c>
      <c r="V17" t="s">
        <v>458</v>
      </c>
      <c r="W17" t="s">
        <v>459</v>
      </c>
      <c r="X17" t="s">
        <v>522</v>
      </c>
      <c r="Y17" t="s">
        <v>238</v>
      </c>
      <c r="Z17" t="s">
        <v>460</v>
      </c>
      <c r="AA17" t="s">
        <v>461</v>
      </c>
      <c r="AB17" t="s">
        <v>449</v>
      </c>
      <c r="AC17" t="s">
        <v>462</v>
      </c>
      <c r="AD17" t="s">
        <v>463</v>
      </c>
      <c r="AE17" t="s">
        <v>464</v>
      </c>
      <c r="AF17" t="s">
        <v>522</v>
      </c>
    </row>
    <row r="18" spans="1:32" x14ac:dyDescent="0.25">
      <c r="A18" t="s">
        <v>238</v>
      </c>
      <c r="B18" t="s">
        <v>465</v>
      </c>
      <c r="C18" t="s">
        <v>466</v>
      </c>
      <c r="D18" t="s">
        <v>449</v>
      </c>
      <c r="E18" t="s">
        <v>467</v>
      </c>
      <c r="F18" t="s">
        <v>468</v>
      </c>
      <c r="G18" t="s">
        <v>469</v>
      </c>
      <c r="H18" t="s">
        <v>522</v>
      </c>
      <c r="I18" t="s">
        <v>238</v>
      </c>
      <c r="J18" t="s">
        <v>470</v>
      </c>
      <c r="K18" t="s">
        <v>306</v>
      </c>
      <c r="L18" t="s">
        <v>449</v>
      </c>
      <c r="M18" t="s">
        <v>310</v>
      </c>
      <c r="N18" t="s">
        <v>471</v>
      </c>
      <c r="O18" t="s">
        <v>270</v>
      </c>
      <c r="P18" t="s">
        <v>522</v>
      </c>
      <c r="Q18" t="s">
        <v>238</v>
      </c>
      <c r="R18" t="s">
        <v>472</v>
      </c>
      <c r="S18" t="s">
        <v>473</v>
      </c>
      <c r="T18" t="s">
        <v>449</v>
      </c>
      <c r="U18" t="s">
        <v>474</v>
      </c>
      <c r="V18" t="s">
        <v>475</v>
      </c>
      <c r="W18" t="s">
        <v>341</v>
      </c>
      <c r="X18" t="s">
        <v>522</v>
      </c>
      <c r="Y18" t="s">
        <v>238</v>
      </c>
      <c r="Z18" t="s">
        <v>476</v>
      </c>
      <c r="AA18" t="s">
        <v>456</v>
      </c>
      <c r="AB18" t="s">
        <v>449</v>
      </c>
      <c r="AC18" t="s">
        <v>289</v>
      </c>
      <c r="AD18" t="s">
        <v>477</v>
      </c>
      <c r="AE18" t="s">
        <v>459</v>
      </c>
      <c r="AF18" t="s">
        <v>522</v>
      </c>
    </row>
    <row r="19" spans="1:32" x14ac:dyDescent="0.25">
      <c r="A19" t="s">
        <v>238</v>
      </c>
      <c r="B19" t="s">
        <v>478</v>
      </c>
      <c r="C19" t="s">
        <v>479</v>
      </c>
      <c r="D19" t="s">
        <v>449</v>
      </c>
      <c r="E19" t="s">
        <v>273</v>
      </c>
      <c r="F19" t="s">
        <v>480</v>
      </c>
      <c r="G19" t="s">
        <v>481</v>
      </c>
      <c r="H19" t="s">
        <v>522</v>
      </c>
      <c r="I19" t="s">
        <v>238</v>
      </c>
      <c r="J19" t="s">
        <v>482</v>
      </c>
      <c r="K19" t="s">
        <v>483</v>
      </c>
      <c r="L19" t="s">
        <v>449</v>
      </c>
      <c r="M19" t="s">
        <v>324</v>
      </c>
      <c r="N19" t="s">
        <v>484</v>
      </c>
      <c r="O19" t="s">
        <v>270</v>
      </c>
      <c r="P19" t="s">
        <v>522</v>
      </c>
      <c r="Q19" t="s">
        <v>238</v>
      </c>
      <c r="R19" t="s">
        <v>485</v>
      </c>
      <c r="S19" t="s">
        <v>486</v>
      </c>
      <c r="T19" t="s">
        <v>487</v>
      </c>
      <c r="U19" t="s">
        <v>299</v>
      </c>
      <c r="V19" t="s">
        <v>488</v>
      </c>
      <c r="W19" t="s">
        <v>489</v>
      </c>
      <c r="X19" t="s">
        <v>522</v>
      </c>
      <c r="Y19" t="s">
        <v>238</v>
      </c>
      <c r="Z19" t="s">
        <v>490</v>
      </c>
      <c r="AA19" t="s">
        <v>422</v>
      </c>
      <c r="AB19" t="s">
        <v>487</v>
      </c>
      <c r="AC19" t="s">
        <v>491</v>
      </c>
      <c r="AD19" t="s">
        <v>492</v>
      </c>
      <c r="AE19" t="s">
        <v>493</v>
      </c>
      <c r="AF19" t="s">
        <v>522</v>
      </c>
    </row>
    <row r="20" spans="1:32" x14ac:dyDescent="0.25">
      <c r="A20" t="s">
        <v>238</v>
      </c>
      <c r="B20" t="s">
        <v>494</v>
      </c>
      <c r="C20" t="s">
        <v>422</v>
      </c>
      <c r="D20" t="s">
        <v>487</v>
      </c>
      <c r="E20" t="s">
        <v>495</v>
      </c>
      <c r="F20" t="s">
        <v>496</v>
      </c>
      <c r="G20" t="s">
        <v>425</v>
      </c>
      <c r="H20" t="s">
        <v>522</v>
      </c>
      <c r="I20" t="s">
        <v>238</v>
      </c>
      <c r="J20" t="s">
        <v>497</v>
      </c>
      <c r="K20" t="s">
        <v>498</v>
      </c>
      <c r="L20" t="s">
        <v>487</v>
      </c>
      <c r="M20" t="s">
        <v>499</v>
      </c>
      <c r="N20" t="s">
        <v>500</v>
      </c>
      <c r="O20" t="s">
        <v>341</v>
      </c>
      <c r="P20" t="s">
        <v>522</v>
      </c>
      <c r="Q20" t="s">
        <v>238</v>
      </c>
      <c r="R20" t="s">
        <v>501</v>
      </c>
      <c r="S20" t="s">
        <v>287</v>
      </c>
      <c r="T20" t="s">
        <v>487</v>
      </c>
      <c r="U20" t="s">
        <v>502</v>
      </c>
      <c r="V20" t="s">
        <v>503</v>
      </c>
      <c r="W20" t="s">
        <v>275</v>
      </c>
      <c r="X20" t="s">
        <v>522</v>
      </c>
      <c r="Y20" t="s">
        <v>238</v>
      </c>
      <c r="Z20" t="s">
        <v>504</v>
      </c>
      <c r="AA20" t="s">
        <v>498</v>
      </c>
      <c r="AB20" t="s">
        <v>487</v>
      </c>
      <c r="AC20" t="s">
        <v>505</v>
      </c>
      <c r="AD20" t="s">
        <v>506</v>
      </c>
      <c r="AE20" t="s">
        <v>341</v>
      </c>
      <c r="AF20" t="s">
        <v>522</v>
      </c>
    </row>
    <row r="21" spans="1:32" x14ac:dyDescent="0.25">
      <c r="A21" t="s">
        <v>238</v>
      </c>
      <c r="B21" t="s">
        <v>507</v>
      </c>
      <c r="C21" t="s">
        <v>422</v>
      </c>
      <c r="D21" t="s">
        <v>487</v>
      </c>
      <c r="E21" t="s">
        <v>508</v>
      </c>
      <c r="F21" t="s">
        <v>509</v>
      </c>
      <c r="G21" t="s">
        <v>341</v>
      </c>
      <c r="H21" t="s">
        <v>522</v>
      </c>
      <c r="I21" t="s">
        <v>238</v>
      </c>
      <c r="J21" t="s">
        <v>510</v>
      </c>
      <c r="K21" t="s">
        <v>511</v>
      </c>
      <c r="L21" t="s">
        <v>487</v>
      </c>
      <c r="M21" t="s">
        <v>428</v>
      </c>
      <c r="N21" t="s">
        <v>512</v>
      </c>
      <c r="O21" t="s">
        <v>513</v>
      </c>
      <c r="P21" t="s">
        <v>522</v>
      </c>
      <c r="Q21" t="s">
        <v>238</v>
      </c>
      <c r="R21" t="s">
        <v>514</v>
      </c>
      <c r="S21" t="s">
        <v>515</v>
      </c>
      <c r="T21" t="s">
        <v>487</v>
      </c>
      <c r="U21" t="s">
        <v>516</v>
      </c>
      <c r="V21" t="s">
        <v>517</v>
      </c>
      <c r="W21" t="s">
        <v>518</v>
      </c>
      <c r="X21" t="s">
        <v>522</v>
      </c>
      <c r="Y21" t="s">
        <v>238</v>
      </c>
      <c r="Z21" t="s">
        <v>519</v>
      </c>
      <c r="AA21" t="s">
        <v>287</v>
      </c>
      <c r="AB21" t="s">
        <v>487</v>
      </c>
      <c r="AC21" t="s">
        <v>520</v>
      </c>
      <c r="AD21" t="s">
        <v>521</v>
      </c>
      <c r="AE21" t="s">
        <v>275</v>
      </c>
      <c r="AF21" t="s">
        <v>522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67DA-8BFA-4DF7-B8EF-467B07D7D632}">
  <sheetPr codeName="Sheet3"/>
  <dimension ref="A1:L647"/>
  <sheetViews>
    <sheetView topLeftCell="A605" workbookViewId="0">
      <selection activeCell="L2" sqref="L2:L643"/>
    </sheetView>
  </sheetViews>
  <sheetFormatPr defaultRowHeight="15" x14ac:dyDescent="0.25"/>
  <cols>
    <col min="10" max="10" width="9.85546875" bestFit="1" customWidth="1"/>
    <col min="11" max="11" width="36.85546875" bestFit="1" customWidth="1"/>
    <col min="12" max="12" width="60.5703125" bestFit="1" customWidth="1"/>
  </cols>
  <sheetData>
    <row r="1" spans="1:12" x14ac:dyDescent="0.25">
      <c r="A1" t="s">
        <v>527</v>
      </c>
      <c r="B1" t="s">
        <v>534</v>
      </c>
      <c r="C1" t="s">
        <v>533</v>
      </c>
      <c r="D1" t="s">
        <v>535</v>
      </c>
      <c r="E1" t="s">
        <v>536</v>
      </c>
      <c r="F1" t="s">
        <v>537</v>
      </c>
      <c r="G1" t="s">
        <v>538</v>
      </c>
      <c r="H1" t="s">
        <v>528</v>
      </c>
      <c r="I1" t="s">
        <v>529</v>
      </c>
      <c r="J1" t="s">
        <v>530</v>
      </c>
      <c r="K1" t="s">
        <v>531</v>
      </c>
      <c r="L1" t="s">
        <v>532</v>
      </c>
    </row>
    <row r="2" spans="1:12" x14ac:dyDescent="0.25">
      <c r="A2" t="s">
        <v>237</v>
      </c>
      <c r="H2" t="s">
        <v>237</v>
      </c>
      <c r="I2" t="e">
        <f t="shared" ref="I2:I3" si="0">LOWER(LEFT(A2,H2))</f>
        <v>#VALUE!</v>
      </c>
      <c r="J2">
        <f t="shared" ref="J2:J3" si="1">LEN(A2)</f>
        <v>18</v>
      </c>
      <c r="K2" t="e">
        <f t="shared" ref="K2:K3" si="2">MID(A2,H2+2,J2-H2-2)</f>
        <v>#VALUE!</v>
      </c>
      <c r="L2" t="s">
        <v>237</v>
      </c>
    </row>
    <row r="3" spans="1:12" x14ac:dyDescent="0.25">
      <c r="A3" t="s">
        <v>238</v>
      </c>
      <c r="H3" t="s">
        <v>238</v>
      </c>
      <c r="I3" t="e">
        <f t="shared" si="0"/>
        <v>#VALUE!</v>
      </c>
      <c r="J3">
        <f t="shared" si="1"/>
        <v>3</v>
      </c>
      <c r="K3" t="e">
        <f t="shared" si="2"/>
        <v>#VALUE!</v>
      </c>
      <c r="L3" t="s">
        <v>238</v>
      </c>
    </row>
    <row r="4" spans="1:12" x14ac:dyDescent="0.25">
      <c r="A4" t="s">
        <v>241</v>
      </c>
      <c r="H4">
        <f>SEARCH(":",A4)</f>
        <v>9</v>
      </c>
      <c r="I4" t="str">
        <f>LOWER(LEFT(A4,H4))</f>
        <v xml:space="preserve">    guid:</v>
      </c>
      <c r="J4">
        <f>LEN(A4)</f>
        <v>47</v>
      </c>
      <c r="K4" t="str">
        <f>MID(A4,H4+2,J4-H4-2)</f>
        <v>fd99387c-33d9-c78a-ba29-0286576ddce5</v>
      </c>
      <c r="L4" t="str">
        <f>_xlfn.CONCAT(I4," '",K4,"'",",")</f>
        <v xml:space="preserve">    guid: 'fd99387c-33d9-c78a-ba29-0286576ddce5',</v>
      </c>
    </row>
    <row r="5" spans="1:12" x14ac:dyDescent="0.25">
      <c r="A5" t="s">
        <v>242</v>
      </c>
      <c r="H5">
        <f t="shared" ref="H5:H68" si="3">SEARCH(":",A5)</f>
        <v>9</v>
      </c>
      <c r="I5" t="str">
        <f t="shared" ref="I5:I68" si="4">LOWER(LEFT(A5,H5))</f>
        <v xml:space="preserve">    name:</v>
      </c>
      <c r="J5">
        <f t="shared" ref="J5:J68" si="5">LEN(A5)</f>
        <v>19</v>
      </c>
      <c r="K5" t="str">
        <f t="shared" ref="K5:K68" si="6">MID(A5,H5+2,J5-H5-2)</f>
        <v>FREKVENS</v>
      </c>
      <c r="L5" t="str">
        <f t="shared" ref="L5:L68" si="7">_xlfn.CONCAT(I5," '",K5,"'",",")</f>
        <v xml:space="preserve">    name: 'FREKVENS',</v>
      </c>
    </row>
    <row r="6" spans="1:12" x14ac:dyDescent="0.25">
      <c r="A6" t="s">
        <v>243</v>
      </c>
      <c r="H6">
        <f t="shared" si="3"/>
        <v>13</v>
      </c>
      <c r="I6" t="str">
        <f t="shared" si="4"/>
        <v xml:space="preserve">    category:</v>
      </c>
      <c r="J6">
        <f t="shared" si="5"/>
        <v>28</v>
      </c>
      <c r="K6" t="str">
        <f t="shared" si="6"/>
        <v>Bar furniture</v>
      </c>
      <c r="L6" t="str">
        <f t="shared" si="7"/>
        <v xml:space="preserve">    category: 'Bar furniture',</v>
      </c>
    </row>
    <row r="7" spans="1:12" x14ac:dyDescent="0.25">
      <c r="A7" t="s">
        <v>244</v>
      </c>
      <c r="H7">
        <f t="shared" si="3"/>
        <v>10</v>
      </c>
      <c r="I7" t="str">
        <f t="shared" si="4"/>
        <v xml:space="preserve">    price:</v>
      </c>
      <c r="J7">
        <f t="shared" si="5"/>
        <v>15</v>
      </c>
      <c r="K7" t="str">
        <f t="shared" si="6"/>
        <v>265</v>
      </c>
      <c r="L7" t="str">
        <f t="shared" si="7"/>
        <v xml:space="preserve">    price: '265',</v>
      </c>
    </row>
    <row r="8" spans="1:12" x14ac:dyDescent="0.25">
      <c r="A8" t="s">
        <v>245</v>
      </c>
      <c r="H8">
        <f t="shared" si="3"/>
        <v>16</v>
      </c>
      <c r="I8" t="str">
        <f t="shared" si="4"/>
        <v xml:space="preserve">    description:</v>
      </c>
      <c r="J8">
        <f t="shared" si="5"/>
        <v>49</v>
      </c>
      <c r="K8" t="str">
        <f t="shared" si="6"/>
        <v>Bar table, in/outdoor, 51x51 cm</v>
      </c>
      <c r="L8" t="str">
        <f t="shared" si="7"/>
        <v xml:space="preserve">    description: 'Bar table, in/outdoor, 51x51 cm',</v>
      </c>
    </row>
    <row r="9" spans="1:12" x14ac:dyDescent="0.25">
      <c r="A9" t="s">
        <v>246</v>
      </c>
      <c r="H9">
        <f t="shared" si="3"/>
        <v>13</v>
      </c>
      <c r="I9" t="str">
        <f t="shared" si="4"/>
        <v xml:space="preserve">    designer:</v>
      </c>
      <c r="J9">
        <f t="shared" si="5"/>
        <v>34</v>
      </c>
      <c r="K9" t="str">
        <f t="shared" si="6"/>
        <v>Nicholai Wiig Hanse</v>
      </c>
      <c r="L9" t="str">
        <f t="shared" si="7"/>
        <v xml:space="preserve">    designer: 'Nicholai Wiig Hanse',</v>
      </c>
    </row>
    <row r="10" spans="1:12" x14ac:dyDescent="0.25">
      <c r="A10" t="s">
        <v>522</v>
      </c>
      <c r="H10" t="e">
        <f t="shared" si="3"/>
        <v>#VALUE!</v>
      </c>
      <c r="I10" t="e">
        <f t="shared" si="4"/>
        <v>#VALUE!</v>
      </c>
      <c r="J10">
        <f t="shared" si="5"/>
        <v>4</v>
      </c>
      <c r="K10" t="e">
        <f t="shared" si="6"/>
        <v>#VALUE!</v>
      </c>
      <c r="L10" t="str">
        <f>A10</f>
        <v xml:space="preserve">  },</v>
      </c>
    </row>
    <row r="11" spans="1:12" x14ac:dyDescent="0.25">
      <c r="A11" t="s">
        <v>238</v>
      </c>
      <c r="H11" t="e">
        <f t="shared" si="3"/>
        <v>#VALUE!</v>
      </c>
      <c r="I11" t="e">
        <f t="shared" si="4"/>
        <v>#VALUE!</v>
      </c>
      <c r="J11">
        <f t="shared" si="5"/>
        <v>3</v>
      </c>
      <c r="K11" t="e">
        <f t="shared" si="6"/>
        <v>#VALUE!</v>
      </c>
      <c r="L11" t="str">
        <f>A11</f>
        <v xml:space="preserve">  {</v>
      </c>
    </row>
    <row r="12" spans="1:12" x14ac:dyDescent="0.25">
      <c r="A12" t="s">
        <v>247</v>
      </c>
      <c r="H12">
        <f t="shared" si="3"/>
        <v>9</v>
      </c>
      <c r="I12" t="str">
        <f t="shared" si="4"/>
        <v xml:space="preserve">    guid:</v>
      </c>
      <c r="J12">
        <f t="shared" si="5"/>
        <v>47</v>
      </c>
      <c r="K12" t="str">
        <f t="shared" si="6"/>
        <v>56d916ec-e6b5-0e62-9330-0248c6792316</v>
      </c>
      <c r="L12" t="str">
        <f t="shared" si="7"/>
        <v xml:space="preserve">    guid: '56d916ec-e6b5-0e62-9330-0248c6792316',</v>
      </c>
    </row>
    <row r="13" spans="1:12" x14ac:dyDescent="0.25">
      <c r="A13" t="s">
        <v>248</v>
      </c>
      <c r="H13">
        <f t="shared" si="3"/>
        <v>9</v>
      </c>
      <c r="I13" t="str">
        <f t="shared" si="4"/>
        <v xml:space="preserve">    name:</v>
      </c>
      <c r="J13">
        <f t="shared" si="5"/>
        <v>20</v>
      </c>
      <c r="K13" t="str">
        <f t="shared" si="6"/>
        <v>NORDVIKEN</v>
      </c>
      <c r="L13" t="str">
        <f t="shared" si="7"/>
        <v xml:space="preserve">    name: 'NORDVIKEN',</v>
      </c>
    </row>
    <row r="14" spans="1:12" x14ac:dyDescent="0.25">
      <c r="A14" t="s">
        <v>243</v>
      </c>
      <c r="H14">
        <f t="shared" si="3"/>
        <v>13</v>
      </c>
      <c r="I14" t="str">
        <f t="shared" si="4"/>
        <v xml:space="preserve">    category:</v>
      </c>
      <c r="J14">
        <f t="shared" si="5"/>
        <v>28</v>
      </c>
      <c r="K14" t="str">
        <f t="shared" si="6"/>
        <v>Bar furniture</v>
      </c>
      <c r="L14" t="str">
        <f t="shared" si="7"/>
        <v xml:space="preserve">    category: 'Bar furniture',</v>
      </c>
    </row>
    <row r="15" spans="1:12" x14ac:dyDescent="0.25">
      <c r="A15" t="s">
        <v>249</v>
      </c>
      <c r="H15">
        <f t="shared" si="3"/>
        <v>10</v>
      </c>
      <c r="I15" t="str">
        <f t="shared" si="4"/>
        <v xml:space="preserve">    price:</v>
      </c>
      <c r="J15">
        <f t="shared" si="5"/>
        <v>15</v>
      </c>
      <c r="K15" t="str">
        <f t="shared" si="6"/>
        <v>995</v>
      </c>
      <c r="L15" t="str">
        <f t="shared" si="7"/>
        <v xml:space="preserve">    price: '995',</v>
      </c>
    </row>
    <row r="16" spans="1:12" x14ac:dyDescent="0.25">
      <c r="A16" t="s">
        <v>250</v>
      </c>
      <c r="H16">
        <f t="shared" si="3"/>
        <v>16</v>
      </c>
      <c r="I16" t="str">
        <f t="shared" si="4"/>
        <v xml:space="preserve">    description:</v>
      </c>
      <c r="J16">
        <f t="shared" si="5"/>
        <v>38</v>
      </c>
      <c r="K16" t="str">
        <f t="shared" si="6"/>
        <v>Bar table, 140x80 cm</v>
      </c>
      <c r="L16" t="str">
        <f t="shared" si="7"/>
        <v xml:space="preserve">    description: 'Bar table, 140x80 cm',</v>
      </c>
    </row>
    <row r="17" spans="1:12" x14ac:dyDescent="0.25">
      <c r="A17" t="s">
        <v>251</v>
      </c>
      <c r="H17">
        <f t="shared" si="3"/>
        <v>13</v>
      </c>
      <c r="I17" t="str">
        <f t="shared" si="4"/>
        <v xml:space="preserve">    designer:</v>
      </c>
      <c r="J17">
        <f t="shared" si="5"/>
        <v>31</v>
      </c>
      <c r="K17" t="str">
        <f t="shared" si="6"/>
        <v>Francis Cayouett</v>
      </c>
      <c r="L17" t="str">
        <f t="shared" si="7"/>
        <v xml:space="preserve">    designer: 'Francis Cayouett',</v>
      </c>
    </row>
    <row r="18" spans="1:12" x14ac:dyDescent="0.25">
      <c r="A18" t="s">
        <v>522</v>
      </c>
      <c r="H18" t="e">
        <f t="shared" si="3"/>
        <v>#VALUE!</v>
      </c>
      <c r="I18" t="e">
        <f t="shared" si="4"/>
        <v>#VALUE!</v>
      </c>
      <c r="J18">
        <f t="shared" si="5"/>
        <v>4</v>
      </c>
      <c r="K18" t="e">
        <f t="shared" si="6"/>
        <v>#VALUE!</v>
      </c>
      <c r="L18" t="str">
        <f>A18</f>
        <v xml:space="preserve">  },</v>
      </c>
    </row>
    <row r="19" spans="1:12" x14ac:dyDescent="0.25">
      <c r="A19" t="s">
        <v>238</v>
      </c>
      <c r="H19" t="e">
        <f t="shared" si="3"/>
        <v>#VALUE!</v>
      </c>
      <c r="I19" t="e">
        <f t="shared" si="4"/>
        <v>#VALUE!</v>
      </c>
      <c r="J19">
        <f t="shared" si="5"/>
        <v>3</v>
      </c>
      <c r="K19" t="e">
        <f t="shared" si="6"/>
        <v>#VALUE!</v>
      </c>
      <c r="L19" t="str">
        <f>A19</f>
        <v xml:space="preserve">  {</v>
      </c>
    </row>
    <row r="20" spans="1:12" x14ac:dyDescent="0.25">
      <c r="A20" t="s">
        <v>252</v>
      </c>
      <c r="H20">
        <f t="shared" si="3"/>
        <v>9</v>
      </c>
      <c r="I20" t="str">
        <f t="shared" si="4"/>
        <v xml:space="preserve">    guid:</v>
      </c>
      <c r="J20">
        <f t="shared" si="5"/>
        <v>47</v>
      </c>
      <c r="K20" t="str">
        <f t="shared" si="6"/>
        <v>d9b1af94-4d49-41f6-5b2d-2d4ac160cdea</v>
      </c>
      <c r="L20" t="str">
        <f t="shared" si="7"/>
        <v xml:space="preserve">    guid: 'd9b1af94-4d49-41f6-5b2d-2d4ac160cdea',</v>
      </c>
    </row>
    <row r="21" spans="1:12" x14ac:dyDescent="0.25">
      <c r="A21" t="s">
        <v>253</v>
      </c>
      <c r="H21">
        <f t="shared" si="3"/>
        <v>9</v>
      </c>
      <c r="I21" t="str">
        <f t="shared" si="4"/>
        <v xml:space="preserve">    name:</v>
      </c>
      <c r="J21">
        <f t="shared" si="5"/>
        <v>32</v>
      </c>
      <c r="K21" t="str">
        <f t="shared" si="6"/>
        <v>NORDVIKEN / NORDVIKEN</v>
      </c>
      <c r="L21" t="str">
        <f t="shared" si="7"/>
        <v xml:space="preserve">    name: 'NORDVIKEN / NORDVIKEN',</v>
      </c>
    </row>
    <row r="22" spans="1:12" x14ac:dyDescent="0.25">
      <c r="A22" t="s">
        <v>243</v>
      </c>
      <c r="H22">
        <f t="shared" si="3"/>
        <v>13</v>
      </c>
      <c r="I22" t="str">
        <f t="shared" si="4"/>
        <v xml:space="preserve">    category:</v>
      </c>
      <c r="J22">
        <f t="shared" si="5"/>
        <v>28</v>
      </c>
      <c r="K22" t="str">
        <f t="shared" si="6"/>
        <v>Bar furniture</v>
      </c>
      <c r="L22" t="str">
        <f t="shared" si="7"/>
        <v xml:space="preserve">    category: 'Bar furniture',</v>
      </c>
    </row>
    <row r="23" spans="1:12" x14ac:dyDescent="0.25">
      <c r="A23" t="s">
        <v>254</v>
      </c>
      <c r="H23">
        <f t="shared" si="3"/>
        <v>10</v>
      </c>
      <c r="I23" t="str">
        <f t="shared" si="4"/>
        <v xml:space="preserve">    price:</v>
      </c>
      <c r="J23">
        <f t="shared" si="5"/>
        <v>16</v>
      </c>
      <c r="K23" t="str">
        <f t="shared" si="6"/>
        <v>2095</v>
      </c>
      <c r="L23" t="str">
        <f t="shared" si="7"/>
        <v xml:space="preserve">    price: '2095',</v>
      </c>
    </row>
    <row r="24" spans="1:12" x14ac:dyDescent="0.25">
      <c r="A24" t="s">
        <v>255</v>
      </c>
      <c r="H24">
        <f t="shared" si="3"/>
        <v>16</v>
      </c>
      <c r="I24" t="str">
        <f t="shared" si="4"/>
        <v xml:space="preserve">    description:</v>
      </c>
      <c r="J24">
        <f t="shared" si="5"/>
        <v>44</v>
      </c>
      <c r="K24" t="str">
        <f t="shared" si="6"/>
        <v>Bar table and 4 bar stools</v>
      </c>
      <c r="L24" t="str">
        <f t="shared" si="7"/>
        <v xml:space="preserve">    description: 'Bar table and 4 bar stools',</v>
      </c>
    </row>
    <row r="25" spans="1:12" x14ac:dyDescent="0.25">
      <c r="A25" t="s">
        <v>251</v>
      </c>
      <c r="H25">
        <f t="shared" si="3"/>
        <v>13</v>
      </c>
      <c r="I25" t="str">
        <f t="shared" si="4"/>
        <v xml:space="preserve">    designer:</v>
      </c>
      <c r="J25">
        <f t="shared" si="5"/>
        <v>31</v>
      </c>
      <c r="K25" t="str">
        <f t="shared" si="6"/>
        <v>Francis Cayouett</v>
      </c>
      <c r="L25" t="str">
        <f t="shared" si="7"/>
        <v xml:space="preserve">    designer: 'Francis Cayouett',</v>
      </c>
    </row>
    <row r="26" spans="1:12" x14ac:dyDescent="0.25">
      <c r="A26" t="s">
        <v>522</v>
      </c>
      <c r="H26" t="e">
        <f t="shared" si="3"/>
        <v>#VALUE!</v>
      </c>
      <c r="I26" t="e">
        <f t="shared" si="4"/>
        <v>#VALUE!</v>
      </c>
      <c r="J26">
        <f t="shared" si="5"/>
        <v>4</v>
      </c>
      <c r="K26" t="e">
        <f t="shared" si="6"/>
        <v>#VALUE!</v>
      </c>
      <c r="L26" t="str">
        <f>A26</f>
        <v xml:space="preserve">  },</v>
      </c>
    </row>
    <row r="27" spans="1:12" x14ac:dyDescent="0.25">
      <c r="A27" t="s">
        <v>238</v>
      </c>
      <c r="H27" t="e">
        <f t="shared" si="3"/>
        <v>#VALUE!</v>
      </c>
      <c r="I27" t="e">
        <f t="shared" si="4"/>
        <v>#VALUE!</v>
      </c>
      <c r="J27">
        <f t="shared" si="5"/>
        <v>3</v>
      </c>
      <c r="K27" t="e">
        <f t="shared" si="6"/>
        <v>#VALUE!</v>
      </c>
      <c r="L27" t="str">
        <f>A27</f>
        <v xml:space="preserve">  {</v>
      </c>
    </row>
    <row r="28" spans="1:12" x14ac:dyDescent="0.25">
      <c r="A28" t="s">
        <v>256</v>
      </c>
      <c r="H28">
        <f t="shared" si="3"/>
        <v>9</v>
      </c>
      <c r="I28" t="str">
        <f t="shared" si="4"/>
        <v xml:space="preserve">    guid:</v>
      </c>
      <c r="J28">
        <f t="shared" si="5"/>
        <v>47</v>
      </c>
      <c r="K28" t="str">
        <f t="shared" si="6"/>
        <v>467e51d7-1659-d2e4-12cb-c64a0d19ecb4</v>
      </c>
      <c r="L28" t="str">
        <f t="shared" si="7"/>
        <v xml:space="preserve">    guid: '467e51d7-1659-d2e4-12cb-c64a0d19ecb4',</v>
      </c>
    </row>
    <row r="29" spans="1:12" x14ac:dyDescent="0.25">
      <c r="A29" t="s">
        <v>257</v>
      </c>
      <c r="H29">
        <f t="shared" si="3"/>
        <v>9</v>
      </c>
      <c r="I29" t="str">
        <f t="shared" si="4"/>
        <v xml:space="preserve">    name:</v>
      </c>
      <c r="J29">
        <f t="shared" si="5"/>
        <v>15</v>
      </c>
      <c r="K29" t="str">
        <f t="shared" si="6"/>
        <v>STIG</v>
      </c>
      <c r="L29" t="str">
        <f t="shared" si="7"/>
        <v xml:space="preserve">    name: 'STIG',</v>
      </c>
    </row>
    <row r="30" spans="1:12" x14ac:dyDescent="0.25">
      <c r="A30" t="s">
        <v>243</v>
      </c>
      <c r="H30">
        <f t="shared" si="3"/>
        <v>13</v>
      </c>
      <c r="I30" t="str">
        <f t="shared" si="4"/>
        <v xml:space="preserve">    category:</v>
      </c>
      <c r="J30">
        <f t="shared" si="5"/>
        <v>28</v>
      </c>
      <c r="K30" t="str">
        <f t="shared" si="6"/>
        <v>Bar furniture</v>
      </c>
      <c r="L30" t="str">
        <f t="shared" si="7"/>
        <v xml:space="preserve">    category: 'Bar furniture',</v>
      </c>
    </row>
    <row r="31" spans="1:12" x14ac:dyDescent="0.25">
      <c r="A31" t="s">
        <v>258</v>
      </c>
      <c r="H31">
        <f t="shared" si="3"/>
        <v>10</v>
      </c>
      <c r="I31" t="str">
        <f t="shared" si="4"/>
        <v xml:space="preserve">    price:</v>
      </c>
      <c r="J31">
        <f t="shared" si="5"/>
        <v>14</v>
      </c>
      <c r="K31" t="str">
        <f t="shared" si="6"/>
        <v>69</v>
      </c>
      <c r="L31" t="str">
        <f t="shared" si="7"/>
        <v xml:space="preserve">    price: '69',</v>
      </c>
    </row>
    <row r="32" spans="1:12" x14ac:dyDescent="0.25">
      <c r="A32" t="s">
        <v>259</v>
      </c>
      <c r="H32">
        <f t="shared" si="3"/>
        <v>16</v>
      </c>
      <c r="I32" t="str">
        <f t="shared" si="4"/>
        <v xml:space="preserve">    description:</v>
      </c>
      <c r="J32">
        <f t="shared" si="5"/>
        <v>48</v>
      </c>
      <c r="K32" t="str">
        <f t="shared" si="6"/>
        <v>Bar stool with backrest, 74 cm</v>
      </c>
      <c r="L32" t="str">
        <f t="shared" si="7"/>
        <v xml:space="preserve">    description: 'Bar stool with backrest, 74 cm',</v>
      </c>
    </row>
    <row r="33" spans="1:12" x14ac:dyDescent="0.25">
      <c r="A33" t="s">
        <v>260</v>
      </c>
      <c r="H33">
        <f t="shared" si="3"/>
        <v>13</v>
      </c>
      <c r="I33" t="str">
        <f t="shared" si="4"/>
        <v xml:space="preserve">    designer:</v>
      </c>
      <c r="J33">
        <f t="shared" si="5"/>
        <v>27</v>
      </c>
      <c r="K33" t="str">
        <f t="shared" si="6"/>
        <v>Henrik Preut</v>
      </c>
      <c r="L33" t="str">
        <f t="shared" si="7"/>
        <v xml:space="preserve">    designer: 'Henrik Preut',</v>
      </c>
    </row>
    <row r="34" spans="1:12" x14ac:dyDescent="0.25">
      <c r="A34" t="s">
        <v>522</v>
      </c>
      <c r="H34" t="e">
        <f t="shared" si="3"/>
        <v>#VALUE!</v>
      </c>
      <c r="I34" t="e">
        <f t="shared" si="4"/>
        <v>#VALUE!</v>
      </c>
      <c r="J34">
        <f t="shared" si="5"/>
        <v>4</v>
      </c>
      <c r="K34" t="e">
        <f t="shared" si="6"/>
        <v>#VALUE!</v>
      </c>
      <c r="L34" t="str">
        <f>A34</f>
        <v xml:space="preserve">  },</v>
      </c>
    </row>
    <row r="35" spans="1:12" x14ac:dyDescent="0.25">
      <c r="A35" t="s">
        <v>238</v>
      </c>
      <c r="H35" t="e">
        <f t="shared" si="3"/>
        <v>#VALUE!</v>
      </c>
      <c r="I35" t="e">
        <f t="shared" si="4"/>
        <v>#VALUE!</v>
      </c>
      <c r="J35">
        <f t="shared" si="5"/>
        <v>3</v>
      </c>
      <c r="K35" t="e">
        <f t="shared" si="6"/>
        <v>#VALUE!</v>
      </c>
      <c r="L35" t="str">
        <f>A35</f>
        <v xml:space="preserve">  {</v>
      </c>
    </row>
    <row r="36" spans="1:12" x14ac:dyDescent="0.25">
      <c r="A36" t="s">
        <v>261</v>
      </c>
      <c r="H36">
        <f t="shared" si="3"/>
        <v>9</v>
      </c>
      <c r="I36" t="str">
        <f t="shared" si="4"/>
        <v xml:space="preserve">    guid:</v>
      </c>
      <c r="J36">
        <f t="shared" si="5"/>
        <v>47</v>
      </c>
      <c r="K36" t="str">
        <f t="shared" si="6"/>
        <v>655b86b4-3d2a-1bfd-387f-77b7f77ca6c1</v>
      </c>
      <c r="L36" t="str">
        <f t="shared" si="7"/>
        <v xml:space="preserve">    guid: '655b86b4-3d2a-1bfd-387f-77b7f77ca6c1',</v>
      </c>
    </row>
    <row r="37" spans="1:12" x14ac:dyDescent="0.25">
      <c r="A37" t="s">
        <v>262</v>
      </c>
      <c r="H37">
        <f t="shared" si="3"/>
        <v>9</v>
      </c>
      <c r="I37" t="str">
        <f t="shared" si="4"/>
        <v xml:space="preserve">    name:</v>
      </c>
      <c r="J37">
        <f t="shared" si="5"/>
        <v>18</v>
      </c>
      <c r="K37" t="str">
        <f t="shared" si="6"/>
        <v>NORBERG</v>
      </c>
      <c r="L37" t="str">
        <f t="shared" si="7"/>
        <v xml:space="preserve">    name: 'NORBERG',</v>
      </c>
    </row>
    <row r="38" spans="1:12" x14ac:dyDescent="0.25">
      <c r="A38" t="s">
        <v>243</v>
      </c>
      <c r="H38">
        <f t="shared" si="3"/>
        <v>13</v>
      </c>
      <c r="I38" t="str">
        <f t="shared" si="4"/>
        <v xml:space="preserve">    category:</v>
      </c>
      <c r="J38">
        <f t="shared" si="5"/>
        <v>28</v>
      </c>
      <c r="K38" t="str">
        <f t="shared" si="6"/>
        <v>Bar furniture</v>
      </c>
      <c r="L38" t="str">
        <f t="shared" si="7"/>
        <v xml:space="preserve">    category: 'Bar furniture',</v>
      </c>
    </row>
    <row r="39" spans="1:12" x14ac:dyDescent="0.25">
      <c r="A39" t="s">
        <v>263</v>
      </c>
      <c r="H39">
        <f t="shared" si="3"/>
        <v>10</v>
      </c>
      <c r="I39" t="str">
        <f t="shared" si="4"/>
        <v xml:space="preserve">    price:</v>
      </c>
      <c r="J39">
        <f t="shared" si="5"/>
        <v>15</v>
      </c>
      <c r="K39" t="str">
        <f t="shared" si="6"/>
        <v>225</v>
      </c>
      <c r="L39" t="str">
        <f t="shared" si="7"/>
        <v xml:space="preserve">    price: '225',</v>
      </c>
    </row>
    <row r="40" spans="1:12" x14ac:dyDescent="0.25">
      <c r="A40" t="s">
        <v>264</v>
      </c>
      <c r="H40">
        <f t="shared" si="3"/>
        <v>16</v>
      </c>
      <c r="I40" t="str">
        <f t="shared" si="4"/>
        <v xml:space="preserve">    description:</v>
      </c>
      <c r="J40">
        <f t="shared" si="5"/>
        <v>56</v>
      </c>
      <c r="K40" t="str">
        <f t="shared" si="6"/>
        <v>Wall-mounted drop-leaf table, 74x60 cm</v>
      </c>
      <c r="L40" t="str">
        <f t="shared" si="7"/>
        <v xml:space="preserve">    description: 'Wall-mounted drop-leaf table, 74x60 cm',</v>
      </c>
    </row>
    <row r="41" spans="1:12" x14ac:dyDescent="0.25">
      <c r="A41" t="s">
        <v>265</v>
      </c>
      <c r="H41">
        <f t="shared" si="3"/>
        <v>13</v>
      </c>
      <c r="I41" t="str">
        <f t="shared" si="4"/>
        <v xml:space="preserve">    designer:</v>
      </c>
      <c r="J41">
        <f t="shared" si="5"/>
        <v>28</v>
      </c>
      <c r="K41" t="str">
        <f t="shared" si="6"/>
        <v>Marcus Arvone</v>
      </c>
      <c r="L41" t="str">
        <f t="shared" si="7"/>
        <v xml:space="preserve">    designer: 'Marcus Arvone',</v>
      </c>
    </row>
    <row r="42" spans="1:12" x14ac:dyDescent="0.25">
      <c r="A42" t="s">
        <v>522</v>
      </c>
      <c r="H42" t="e">
        <f t="shared" si="3"/>
        <v>#VALUE!</v>
      </c>
      <c r="I42" t="e">
        <f t="shared" si="4"/>
        <v>#VALUE!</v>
      </c>
      <c r="J42">
        <f t="shared" si="5"/>
        <v>4</v>
      </c>
      <c r="K42" t="e">
        <f t="shared" si="6"/>
        <v>#VALUE!</v>
      </c>
      <c r="L42" t="str">
        <f>A42</f>
        <v xml:space="preserve">  },</v>
      </c>
    </row>
    <row r="43" spans="1:12" x14ac:dyDescent="0.25">
      <c r="A43" t="s">
        <v>238</v>
      </c>
      <c r="H43" t="e">
        <f t="shared" si="3"/>
        <v>#VALUE!</v>
      </c>
      <c r="I43" t="e">
        <f t="shared" si="4"/>
        <v>#VALUE!</v>
      </c>
      <c r="J43">
        <f t="shared" si="5"/>
        <v>3</v>
      </c>
      <c r="K43" t="e">
        <f t="shared" si="6"/>
        <v>#VALUE!</v>
      </c>
      <c r="L43" t="str">
        <f>A43</f>
        <v xml:space="preserve">  {</v>
      </c>
    </row>
    <row r="44" spans="1:12" x14ac:dyDescent="0.25">
      <c r="A44" t="s">
        <v>266</v>
      </c>
      <c r="H44">
        <f t="shared" si="3"/>
        <v>9</v>
      </c>
      <c r="I44" t="str">
        <f t="shared" si="4"/>
        <v xml:space="preserve">    guid:</v>
      </c>
      <c r="J44">
        <f t="shared" si="5"/>
        <v>47</v>
      </c>
      <c r="K44" t="str">
        <f t="shared" si="6"/>
        <v>085ffadd-146b-fcfd-91e5-ca4e50e034c9</v>
      </c>
      <c r="L44" t="str">
        <f t="shared" si="7"/>
        <v xml:space="preserve">    guid: '085ffadd-146b-fcfd-91e5-ca4e50e034c9',</v>
      </c>
    </row>
    <row r="45" spans="1:12" x14ac:dyDescent="0.25">
      <c r="A45" t="s">
        <v>267</v>
      </c>
      <c r="H45">
        <f t="shared" si="3"/>
        <v>9</v>
      </c>
      <c r="I45" t="str">
        <f t="shared" si="4"/>
        <v xml:space="preserve">    name:</v>
      </c>
      <c r="J45">
        <f t="shared" si="5"/>
        <v>17</v>
      </c>
      <c r="K45" t="str">
        <f t="shared" si="6"/>
        <v>INGOLF</v>
      </c>
      <c r="L45" t="str">
        <f t="shared" si="7"/>
        <v xml:space="preserve">    name: 'INGOLF',</v>
      </c>
    </row>
    <row r="46" spans="1:12" x14ac:dyDescent="0.25">
      <c r="A46" t="s">
        <v>243</v>
      </c>
      <c r="H46">
        <f t="shared" si="3"/>
        <v>13</v>
      </c>
      <c r="I46" t="str">
        <f t="shared" si="4"/>
        <v xml:space="preserve">    category:</v>
      </c>
      <c r="J46">
        <f t="shared" si="5"/>
        <v>28</v>
      </c>
      <c r="K46" t="str">
        <f t="shared" si="6"/>
        <v>Bar furniture</v>
      </c>
      <c r="L46" t="str">
        <f t="shared" si="7"/>
        <v xml:space="preserve">    category: 'Bar furniture',</v>
      </c>
    </row>
    <row r="47" spans="1:12" x14ac:dyDescent="0.25">
      <c r="A47" t="s">
        <v>268</v>
      </c>
      <c r="H47">
        <f t="shared" si="3"/>
        <v>10</v>
      </c>
      <c r="I47" t="str">
        <f t="shared" si="4"/>
        <v xml:space="preserve">    price:</v>
      </c>
      <c r="J47">
        <f t="shared" si="5"/>
        <v>15</v>
      </c>
      <c r="K47" t="str">
        <f t="shared" si="6"/>
        <v>345</v>
      </c>
      <c r="L47" t="str">
        <f t="shared" si="7"/>
        <v xml:space="preserve">    price: '345',</v>
      </c>
    </row>
    <row r="48" spans="1:12" x14ac:dyDescent="0.25">
      <c r="A48" t="s">
        <v>269</v>
      </c>
      <c r="H48">
        <f t="shared" si="3"/>
        <v>16</v>
      </c>
      <c r="I48" t="str">
        <f t="shared" si="4"/>
        <v xml:space="preserve">    description:</v>
      </c>
      <c r="J48">
        <f t="shared" si="5"/>
        <v>48</v>
      </c>
      <c r="K48" t="str">
        <f t="shared" si="6"/>
        <v>Bar stool with backrest, 63 cm</v>
      </c>
      <c r="L48" t="str">
        <f t="shared" si="7"/>
        <v xml:space="preserve">    description: 'Bar stool with backrest, 63 cm',</v>
      </c>
    </row>
    <row r="49" spans="1:12" x14ac:dyDescent="0.25">
      <c r="A49" t="s">
        <v>270</v>
      </c>
      <c r="H49">
        <f t="shared" si="3"/>
        <v>13</v>
      </c>
      <c r="I49" t="str">
        <f t="shared" si="4"/>
        <v xml:space="preserve">    designer:</v>
      </c>
      <c r="J49">
        <f t="shared" si="5"/>
        <v>26</v>
      </c>
      <c r="K49" t="str">
        <f t="shared" si="6"/>
        <v>Carina Beng</v>
      </c>
      <c r="L49" t="str">
        <f t="shared" si="7"/>
        <v xml:space="preserve">    designer: 'Carina Beng',</v>
      </c>
    </row>
    <row r="50" spans="1:12" x14ac:dyDescent="0.25">
      <c r="A50" t="s">
        <v>522</v>
      </c>
      <c r="H50" t="e">
        <f t="shared" si="3"/>
        <v>#VALUE!</v>
      </c>
      <c r="I50" t="e">
        <f t="shared" si="4"/>
        <v>#VALUE!</v>
      </c>
      <c r="J50">
        <f t="shared" si="5"/>
        <v>4</v>
      </c>
      <c r="K50" t="e">
        <f t="shared" si="6"/>
        <v>#VALUE!</v>
      </c>
      <c r="L50" t="str">
        <f>A50</f>
        <v xml:space="preserve">  },</v>
      </c>
    </row>
    <row r="51" spans="1:12" x14ac:dyDescent="0.25">
      <c r="A51" t="s">
        <v>238</v>
      </c>
      <c r="H51" t="e">
        <f t="shared" si="3"/>
        <v>#VALUE!</v>
      </c>
      <c r="I51" t="e">
        <f t="shared" si="4"/>
        <v>#VALUE!</v>
      </c>
      <c r="J51">
        <f t="shared" si="5"/>
        <v>3</v>
      </c>
      <c r="K51" t="e">
        <f t="shared" si="6"/>
        <v>#VALUE!</v>
      </c>
      <c r="L51" t="str">
        <f>A51</f>
        <v xml:space="preserve">  {</v>
      </c>
    </row>
    <row r="52" spans="1:12" x14ac:dyDescent="0.25">
      <c r="A52" t="s">
        <v>271</v>
      </c>
      <c r="H52">
        <f t="shared" si="3"/>
        <v>9</v>
      </c>
      <c r="I52" t="str">
        <f t="shared" si="4"/>
        <v xml:space="preserve">    guid:</v>
      </c>
      <c r="J52">
        <f t="shared" si="5"/>
        <v>47</v>
      </c>
      <c r="K52" t="str">
        <f t="shared" si="6"/>
        <v>b34cfdde-5b2b-6ecc-b205-b292f3778a1f</v>
      </c>
      <c r="L52" t="str">
        <f t="shared" si="7"/>
        <v xml:space="preserve">    guid: 'b34cfdde-5b2b-6ecc-b205-b292f3778a1f',</v>
      </c>
    </row>
    <row r="53" spans="1:12" x14ac:dyDescent="0.25">
      <c r="A53" t="s">
        <v>272</v>
      </c>
      <c r="H53">
        <f t="shared" si="3"/>
        <v>9</v>
      </c>
      <c r="I53" t="str">
        <f t="shared" si="4"/>
        <v xml:space="preserve">    name:</v>
      </c>
      <c r="J53">
        <f t="shared" si="5"/>
        <v>19</v>
      </c>
      <c r="K53" t="str">
        <f t="shared" si="6"/>
        <v>FRANKLIN</v>
      </c>
      <c r="L53" t="str">
        <f t="shared" si="7"/>
        <v xml:space="preserve">    name: 'FRANKLIN',</v>
      </c>
    </row>
    <row r="54" spans="1:12" x14ac:dyDescent="0.25">
      <c r="A54" t="s">
        <v>243</v>
      </c>
      <c r="H54">
        <f t="shared" si="3"/>
        <v>13</v>
      </c>
      <c r="I54" t="str">
        <f t="shared" si="4"/>
        <v xml:space="preserve">    category:</v>
      </c>
      <c r="J54">
        <f t="shared" si="5"/>
        <v>28</v>
      </c>
      <c r="K54" t="str">
        <f t="shared" si="6"/>
        <v>Bar furniture</v>
      </c>
      <c r="L54" t="str">
        <f t="shared" si="7"/>
        <v xml:space="preserve">    category: 'Bar furniture',</v>
      </c>
    </row>
    <row r="55" spans="1:12" x14ac:dyDescent="0.25">
      <c r="A55" t="s">
        <v>273</v>
      </c>
      <c r="H55">
        <f t="shared" si="3"/>
        <v>10</v>
      </c>
      <c r="I55" t="str">
        <f t="shared" si="4"/>
        <v xml:space="preserve">    price:</v>
      </c>
      <c r="J55">
        <f t="shared" si="5"/>
        <v>15</v>
      </c>
      <c r="K55" t="str">
        <f t="shared" si="6"/>
        <v>129</v>
      </c>
      <c r="L55" t="str">
        <f t="shared" si="7"/>
        <v xml:space="preserve">    price: '129',</v>
      </c>
    </row>
    <row r="56" spans="1:12" x14ac:dyDescent="0.25">
      <c r="A56" t="s">
        <v>274</v>
      </c>
      <c r="H56">
        <f t="shared" si="3"/>
        <v>16</v>
      </c>
      <c r="I56" t="str">
        <f t="shared" si="4"/>
        <v xml:space="preserve">    description:</v>
      </c>
      <c r="J56">
        <f t="shared" si="5"/>
        <v>58</v>
      </c>
      <c r="K56" t="str">
        <f t="shared" si="6"/>
        <v>Bar stool with backrest, foldable, 63 cm</v>
      </c>
      <c r="L56" t="str">
        <f t="shared" si="7"/>
        <v xml:space="preserve">    description: 'Bar stool with backrest, foldable, 63 cm',</v>
      </c>
    </row>
    <row r="57" spans="1:12" x14ac:dyDescent="0.25">
      <c r="A57" t="s">
        <v>275</v>
      </c>
      <c r="H57">
        <f t="shared" si="3"/>
        <v>13</v>
      </c>
      <c r="I57" t="str">
        <f t="shared" si="4"/>
        <v xml:space="preserve">    designer:</v>
      </c>
      <c r="J57">
        <f t="shared" si="5"/>
        <v>33</v>
      </c>
      <c r="K57" t="str">
        <f t="shared" si="6"/>
        <v>K Hagberg/M Hagber</v>
      </c>
      <c r="L57" t="str">
        <f t="shared" si="7"/>
        <v xml:space="preserve">    designer: 'K Hagberg/M Hagber',</v>
      </c>
    </row>
    <row r="58" spans="1:12" x14ac:dyDescent="0.25">
      <c r="A58" t="s">
        <v>522</v>
      </c>
      <c r="H58" t="e">
        <f t="shared" si="3"/>
        <v>#VALUE!</v>
      </c>
      <c r="I58" t="e">
        <f t="shared" si="4"/>
        <v>#VALUE!</v>
      </c>
      <c r="J58">
        <f t="shared" si="5"/>
        <v>4</v>
      </c>
      <c r="K58" t="e">
        <f t="shared" si="6"/>
        <v>#VALUE!</v>
      </c>
      <c r="L58" t="str">
        <f>A58</f>
        <v xml:space="preserve">  },</v>
      </c>
    </row>
    <row r="59" spans="1:12" x14ac:dyDescent="0.25">
      <c r="A59" t="s">
        <v>238</v>
      </c>
      <c r="H59" t="e">
        <f t="shared" si="3"/>
        <v>#VALUE!</v>
      </c>
      <c r="I59" t="e">
        <f t="shared" si="4"/>
        <v>#VALUE!</v>
      </c>
      <c r="J59">
        <f t="shared" si="5"/>
        <v>3</v>
      </c>
      <c r="K59" t="e">
        <f t="shared" si="6"/>
        <v>#VALUE!</v>
      </c>
      <c r="L59" t="str">
        <f>A59</f>
        <v xml:space="preserve">  {</v>
      </c>
    </row>
    <row r="60" spans="1:12" x14ac:dyDescent="0.25">
      <c r="A60" t="s">
        <v>276</v>
      </c>
      <c r="H60">
        <f t="shared" si="3"/>
        <v>9</v>
      </c>
      <c r="I60" t="str">
        <f t="shared" si="4"/>
        <v xml:space="preserve">    guid:</v>
      </c>
      <c r="J60">
        <f t="shared" si="5"/>
        <v>47</v>
      </c>
      <c r="K60" t="str">
        <f t="shared" si="6"/>
        <v>02e90226-87d1-3c2c-922d-43682e6b6a80</v>
      </c>
      <c r="L60" t="str">
        <f t="shared" si="7"/>
        <v xml:space="preserve">    guid: '02e90226-87d1-3c2c-922d-43682e6b6a80',</v>
      </c>
    </row>
    <row r="61" spans="1:12" x14ac:dyDescent="0.25">
      <c r="A61" t="s">
        <v>277</v>
      </c>
      <c r="H61">
        <f t="shared" si="3"/>
        <v>9</v>
      </c>
      <c r="I61" t="str">
        <f t="shared" si="4"/>
        <v xml:space="preserve">    name:</v>
      </c>
      <c r="J61">
        <f t="shared" si="5"/>
        <v>18</v>
      </c>
      <c r="K61" t="str">
        <f t="shared" si="6"/>
        <v>DALFRED</v>
      </c>
      <c r="L61" t="str">
        <f t="shared" si="7"/>
        <v xml:space="preserve">    name: 'DALFRED',</v>
      </c>
    </row>
    <row r="62" spans="1:12" x14ac:dyDescent="0.25">
      <c r="A62" t="s">
        <v>243</v>
      </c>
      <c r="H62">
        <f t="shared" si="3"/>
        <v>13</v>
      </c>
      <c r="I62" t="str">
        <f t="shared" si="4"/>
        <v xml:space="preserve">    category:</v>
      </c>
      <c r="J62">
        <f t="shared" si="5"/>
        <v>28</v>
      </c>
      <c r="K62" t="str">
        <f t="shared" si="6"/>
        <v>Bar furniture</v>
      </c>
      <c r="L62" t="str">
        <f t="shared" si="7"/>
        <v xml:space="preserve">    category: 'Bar furniture',</v>
      </c>
    </row>
    <row r="63" spans="1:12" x14ac:dyDescent="0.25">
      <c r="A63" t="s">
        <v>278</v>
      </c>
      <c r="H63">
        <f t="shared" si="3"/>
        <v>10</v>
      </c>
      <c r="I63" t="str">
        <f t="shared" si="4"/>
        <v xml:space="preserve">    price:</v>
      </c>
      <c r="J63">
        <f t="shared" si="5"/>
        <v>15</v>
      </c>
      <c r="K63" t="str">
        <f t="shared" si="6"/>
        <v>195</v>
      </c>
      <c r="L63" t="str">
        <f t="shared" si="7"/>
        <v xml:space="preserve">    price: '195',</v>
      </c>
    </row>
    <row r="64" spans="1:12" x14ac:dyDescent="0.25">
      <c r="A64" t="s">
        <v>279</v>
      </c>
      <c r="H64">
        <f t="shared" si="3"/>
        <v>16</v>
      </c>
      <c r="I64" t="str">
        <f t="shared" si="4"/>
        <v xml:space="preserve">    description:</v>
      </c>
      <c r="J64">
        <f t="shared" si="5"/>
        <v>37</v>
      </c>
      <c r="K64" t="str">
        <f t="shared" si="6"/>
        <v>Bar stool, 63-74 cm</v>
      </c>
      <c r="L64" t="str">
        <f t="shared" si="7"/>
        <v xml:space="preserve">    description: 'Bar stool, 63-74 cm',</v>
      </c>
    </row>
    <row r="65" spans="1:12" x14ac:dyDescent="0.25">
      <c r="A65" t="s">
        <v>280</v>
      </c>
      <c r="H65">
        <f t="shared" si="3"/>
        <v>13</v>
      </c>
      <c r="I65" t="str">
        <f t="shared" si="4"/>
        <v xml:space="preserve">    designer:</v>
      </c>
      <c r="J65">
        <f t="shared" si="5"/>
        <v>25</v>
      </c>
      <c r="K65" t="str">
        <f t="shared" si="6"/>
        <v>Sarah Fage</v>
      </c>
      <c r="L65" t="str">
        <f t="shared" si="7"/>
        <v xml:space="preserve">    designer: 'Sarah Fage',</v>
      </c>
    </row>
    <row r="66" spans="1:12" x14ac:dyDescent="0.25">
      <c r="A66" t="s">
        <v>522</v>
      </c>
      <c r="H66" t="e">
        <f t="shared" si="3"/>
        <v>#VALUE!</v>
      </c>
      <c r="I66" t="e">
        <f t="shared" si="4"/>
        <v>#VALUE!</v>
      </c>
      <c r="J66">
        <f t="shared" si="5"/>
        <v>4</v>
      </c>
      <c r="K66" t="e">
        <f t="shared" si="6"/>
        <v>#VALUE!</v>
      </c>
      <c r="L66" t="str">
        <f>A66</f>
        <v xml:space="preserve">  },</v>
      </c>
    </row>
    <row r="67" spans="1:12" x14ac:dyDescent="0.25">
      <c r="A67" t="s">
        <v>238</v>
      </c>
      <c r="H67" t="e">
        <f t="shared" si="3"/>
        <v>#VALUE!</v>
      </c>
      <c r="I67" t="e">
        <f t="shared" si="4"/>
        <v>#VALUE!</v>
      </c>
      <c r="J67">
        <f t="shared" si="5"/>
        <v>3</v>
      </c>
      <c r="K67" t="e">
        <f t="shared" si="6"/>
        <v>#VALUE!</v>
      </c>
      <c r="L67" t="str">
        <f>A67</f>
        <v xml:space="preserve">  {</v>
      </c>
    </row>
    <row r="68" spans="1:12" x14ac:dyDescent="0.25">
      <c r="A68" t="s">
        <v>281</v>
      </c>
      <c r="H68">
        <f t="shared" si="3"/>
        <v>9</v>
      </c>
      <c r="I68" t="str">
        <f t="shared" si="4"/>
        <v xml:space="preserve">    guid:</v>
      </c>
      <c r="J68">
        <f t="shared" si="5"/>
        <v>47</v>
      </c>
      <c r="K68" t="str">
        <f t="shared" si="6"/>
        <v>71f8811f-fe2d-0608-24e4-aafe3c7c3d14</v>
      </c>
      <c r="L68" t="str">
        <f t="shared" si="7"/>
        <v xml:space="preserve">    guid: '71f8811f-fe2d-0608-24e4-aafe3c7c3d14',</v>
      </c>
    </row>
    <row r="69" spans="1:12" x14ac:dyDescent="0.25">
      <c r="A69" t="s">
        <v>272</v>
      </c>
      <c r="H69">
        <f t="shared" ref="H69:H132" si="8">SEARCH(":",A69)</f>
        <v>9</v>
      </c>
      <c r="I69" t="str">
        <f t="shared" ref="I69:I132" si="9">LOWER(LEFT(A69,H69))</f>
        <v xml:space="preserve">    name:</v>
      </c>
      <c r="J69">
        <f t="shared" ref="J69:J132" si="10">LEN(A69)</f>
        <v>19</v>
      </c>
      <c r="K69" t="str">
        <f t="shared" ref="K69:K132" si="11">MID(A69,H69+2,J69-H69-2)</f>
        <v>FRANKLIN</v>
      </c>
      <c r="L69" t="str">
        <f t="shared" ref="L69:L132" si="12">_xlfn.CONCAT(I69," '",K69,"'",",")</f>
        <v xml:space="preserve">    name: 'FRANKLIN',</v>
      </c>
    </row>
    <row r="70" spans="1:12" x14ac:dyDescent="0.25">
      <c r="A70" t="s">
        <v>243</v>
      </c>
      <c r="H70">
        <f t="shared" si="8"/>
        <v>13</v>
      </c>
      <c r="I70" t="str">
        <f t="shared" si="9"/>
        <v xml:space="preserve">    category:</v>
      </c>
      <c r="J70">
        <f t="shared" si="10"/>
        <v>28</v>
      </c>
      <c r="K70" t="str">
        <f t="shared" si="11"/>
        <v>Bar furniture</v>
      </c>
      <c r="L70" t="str">
        <f t="shared" si="12"/>
        <v xml:space="preserve">    category: 'Bar furniture',</v>
      </c>
    </row>
    <row r="71" spans="1:12" x14ac:dyDescent="0.25">
      <c r="A71" t="s">
        <v>273</v>
      </c>
      <c r="H71">
        <f t="shared" si="8"/>
        <v>10</v>
      </c>
      <c r="I71" t="str">
        <f t="shared" si="9"/>
        <v xml:space="preserve">    price:</v>
      </c>
      <c r="J71">
        <f t="shared" si="10"/>
        <v>15</v>
      </c>
      <c r="K71" t="str">
        <f t="shared" si="11"/>
        <v>129</v>
      </c>
      <c r="L71" t="str">
        <f t="shared" si="12"/>
        <v xml:space="preserve">    price: '129',</v>
      </c>
    </row>
    <row r="72" spans="1:12" x14ac:dyDescent="0.25">
      <c r="A72" t="s">
        <v>274</v>
      </c>
      <c r="H72">
        <f t="shared" si="8"/>
        <v>16</v>
      </c>
      <c r="I72" t="str">
        <f t="shared" si="9"/>
        <v xml:space="preserve">    description:</v>
      </c>
      <c r="J72">
        <f t="shared" si="10"/>
        <v>58</v>
      </c>
      <c r="K72" t="str">
        <f t="shared" si="11"/>
        <v>Bar stool with backrest, foldable, 63 cm</v>
      </c>
      <c r="L72" t="str">
        <f t="shared" si="12"/>
        <v xml:space="preserve">    description: 'Bar stool with backrest, foldable, 63 cm',</v>
      </c>
    </row>
    <row r="73" spans="1:12" x14ac:dyDescent="0.25">
      <c r="A73" t="s">
        <v>275</v>
      </c>
      <c r="H73">
        <f t="shared" si="8"/>
        <v>13</v>
      </c>
      <c r="I73" t="str">
        <f t="shared" si="9"/>
        <v xml:space="preserve">    designer:</v>
      </c>
      <c r="J73">
        <f t="shared" si="10"/>
        <v>33</v>
      </c>
      <c r="K73" t="str">
        <f t="shared" si="11"/>
        <v>K Hagberg/M Hagber</v>
      </c>
      <c r="L73" t="str">
        <f t="shared" si="12"/>
        <v xml:space="preserve">    designer: 'K Hagberg/M Hagber',</v>
      </c>
    </row>
    <row r="74" spans="1:12" x14ac:dyDescent="0.25">
      <c r="A74" t="s">
        <v>522</v>
      </c>
      <c r="H74" t="e">
        <f t="shared" si="8"/>
        <v>#VALUE!</v>
      </c>
      <c r="I74" t="e">
        <f t="shared" si="9"/>
        <v>#VALUE!</v>
      </c>
      <c r="J74">
        <f t="shared" si="10"/>
        <v>4</v>
      </c>
      <c r="K74" t="e">
        <f t="shared" si="11"/>
        <v>#VALUE!</v>
      </c>
      <c r="L74" t="str">
        <f>A74</f>
        <v xml:space="preserve">  },</v>
      </c>
    </row>
    <row r="75" spans="1:12" x14ac:dyDescent="0.25">
      <c r="A75" t="s">
        <v>238</v>
      </c>
      <c r="H75" t="e">
        <f t="shared" si="8"/>
        <v>#VALUE!</v>
      </c>
      <c r="I75" t="e">
        <f t="shared" si="9"/>
        <v>#VALUE!</v>
      </c>
      <c r="J75">
        <f t="shared" si="10"/>
        <v>3</v>
      </c>
      <c r="K75" t="e">
        <f t="shared" si="11"/>
        <v>#VALUE!</v>
      </c>
      <c r="L75" t="str">
        <f>A75</f>
        <v xml:space="preserve">  {</v>
      </c>
    </row>
    <row r="76" spans="1:12" x14ac:dyDescent="0.25">
      <c r="A76" t="s">
        <v>282</v>
      </c>
      <c r="H76">
        <f t="shared" si="8"/>
        <v>9</v>
      </c>
      <c r="I76" t="str">
        <f t="shared" si="9"/>
        <v xml:space="preserve">    guid:</v>
      </c>
      <c r="J76">
        <f t="shared" si="10"/>
        <v>47</v>
      </c>
      <c r="K76" t="str">
        <f t="shared" si="11"/>
        <v>003cfb2f-6e16-c274-fc0e-29c252101a96</v>
      </c>
      <c r="L76" t="str">
        <f t="shared" si="12"/>
        <v xml:space="preserve">    guid: '003cfb2f-6e16-c274-fc0e-29c252101a96',</v>
      </c>
    </row>
    <row r="77" spans="1:12" x14ac:dyDescent="0.25">
      <c r="A77" t="s">
        <v>283</v>
      </c>
      <c r="H77">
        <f t="shared" si="8"/>
        <v>9</v>
      </c>
      <c r="I77" t="str">
        <f t="shared" si="9"/>
        <v xml:space="preserve">    name:</v>
      </c>
      <c r="J77">
        <f t="shared" si="10"/>
        <v>30</v>
      </c>
      <c r="K77" t="str">
        <f t="shared" si="11"/>
        <v>EKEDALEN / EKEDALEN</v>
      </c>
      <c r="L77" t="str">
        <f t="shared" si="12"/>
        <v xml:space="preserve">    name: 'EKEDALEN / EKEDALEN',</v>
      </c>
    </row>
    <row r="78" spans="1:12" x14ac:dyDescent="0.25">
      <c r="A78" t="s">
        <v>243</v>
      </c>
      <c r="H78">
        <f t="shared" si="8"/>
        <v>13</v>
      </c>
      <c r="I78" t="str">
        <f t="shared" si="9"/>
        <v xml:space="preserve">    category:</v>
      </c>
      <c r="J78">
        <f t="shared" si="10"/>
        <v>28</v>
      </c>
      <c r="K78" t="str">
        <f t="shared" si="11"/>
        <v>Bar furniture</v>
      </c>
      <c r="L78" t="str">
        <f t="shared" si="12"/>
        <v xml:space="preserve">    category: 'Bar furniture',</v>
      </c>
    </row>
    <row r="79" spans="1:12" x14ac:dyDescent="0.25">
      <c r="A79" t="s">
        <v>284</v>
      </c>
      <c r="H79">
        <f t="shared" si="8"/>
        <v>10</v>
      </c>
      <c r="I79" t="str">
        <f t="shared" si="9"/>
        <v xml:space="preserve">    price:</v>
      </c>
      <c r="J79">
        <f t="shared" si="10"/>
        <v>16</v>
      </c>
      <c r="K79" t="str">
        <f t="shared" si="11"/>
        <v>2176</v>
      </c>
      <c r="L79" t="str">
        <f t="shared" si="12"/>
        <v xml:space="preserve">    price: '2176',</v>
      </c>
    </row>
    <row r="80" spans="1:12" x14ac:dyDescent="0.25">
      <c r="A80" t="s">
        <v>255</v>
      </c>
      <c r="H80">
        <f t="shared" si="8"/>
        <v>16</v>
      </c>
      <c r="I80" t="str">
        <f t="shared" si="9"/>
        <v xml:space="preserve">    description:</v>
      </c>
      <c r="J80">
        <f t="shared" si="10"/>
        <v>44</v>
      </c>
      <c r="K80" t="str">
        <f t="shared" si="11"/>
        <v>Bar table and 4 bar stools</v>
      </c>
      <c r="L80" t="str">
        <f t="shared" si="12"/>
        <v xml:space="preserve">    description: 'Bar table and 4 bar stools',</v>
      </c>
    </row>
    <row r="81" spans="1:12" x14ac:dyDescent="0.25">
      <c r="A81" t="s">
        <v>285</v>
      </c>
      <c r="H81">
        <f t="shared" si="8"/>
        <v>13</v>
      </c>
      <c r="I81" t="str">
        <f t="shared" si="9"/>
        <v xml:space="preserve">    designer:</v>
      </c>
      <c r="J81">
        <f t="shared" si="10"/>
        <v>30</v>
      </c>
      <c r="K81" t="str">
        <f t="shared" si="11"/>
        <v>EhlÃ©n Johansso</v>
      </c>
      <c r="L81" t="str">
        <f t="shared" si="12"/>
        <v xml:space="preserve">    designer: 'EhlÃ©n Johansso',</v>
      </c>
    </row>
    <row r="82" spans="1:12" x14ac:dyDescent="0.25">
      <c r="A82" t="s">
        <v>522</v>
      </c>
      <c r="H82" t="e">
        <f t="shared" si="8"/>
        <v>#VALUE!</v>
      </c>
      <c r="I82" t="e">
        <f t="shared" si="9"/>
        <v>#VALUE!</v>
      </c>
      <c r="J82">
        <f t="shared" si="10"/>
        <v>4</v>
      </c>
      <c r="K82" t="e">
        <f t="shared" si="11"/>
        <v>#VALUE!</v>
      </c>
      <c r="L82" t="str">
        <f>A82</f>
        <v xml:space="preserve">  },</v>
      </c>
    </row>
    <row r="83" spans="1:12" x14ac:dyDescent="0.25">
      <c r="A83" t="s">
        <v>238</v>
      </c>
      <c r="H83" t="e">
        <f t="shared" si="8"/>
        <v>#VALUE!</v>
      </c>
      <c r="I83" t="e">
        <f t="shared" si="9"/>
        <v>#VALUE!</v>
      </c>
      <c r="J83">
        <f t="shared" si="10"/>
        <v>3</v>
      </c>
      <c r="K83" t="e">
        <f t="shared" si="11"/>
        <v>#VALUE!</v>
      </c>
      <c r="L83" t="str">
        <f>A83</f>
        <v xml:space="preserve">  {</v>
      </c>
    </row>
    <row r="84" spans="1:12" x14ac:dyDescent="0.25">
      <c r="A84" t="s">
        <v>286</v>
      </c>
      <c r="H84">
        <f t="shared" si="8"/>
        <v>9</v>
      </c>
      <c r="I84" t="str">
        <f t="shared" si="9"/>
        <v xml:space="preserve">    guid:</v>
      </c>
      <c r="J84">
        <f t="shared" si="10"/>
        <v>47</v>
      </c>
      <c r="K84" t="str">
        <f t="shared" si="11"/>
        <v>a78f0737-89cc-0f8a-9a0d-e8c6e273eab1</v>
      </c>
      <c r="L84" t="str">
        <f t="shared" si="12"/>
        <v xml:space="preserve">    guid: 'a78f0737-89cc-0f8a-9a0d-e8c6e273eab1',</v>
      </c>
    </row>
    <row r="85" spans="1:12" x14ac:dyDescent="0.25">
      <c r="A85" t="s">
        <v>287</v>
      </c>
      <c r="H85">
        <f t="shared" si="8"/>
        <v>9</v>
      </c>
      <c r="I85" t="str">
        <f t="shared" si="9"/>
        <v xml:space="preserve">    name:</v>
      </c>
      <c r="J85">
        <f t="shared" si="10"/>
        <v>18</v>
      </c>
      <c r="K85" t="str">
        <f t="shared" si="11"/>
        <v>BRIMNES</v>
      </c>
      <c r="L85" t="str">
        <f t="shared" si="12"/>
        <v xml:space="preserve">    name: 'BRIMNES',</v>
      </c>
    </row>
    <row r="86" spans="1:12" x14ac:dyDescent="0.25">
      <c r="A86" t="s">
        <v>288</v>
      </c>
      <c r="H86">
        <f t="shared" si="8"/>
        <v>13</v>
      </c>
      <c r="I86" t="str">
        <f t="shared" si="9"/>
        <v xml:space="preserve">    category:</v>
      </c>
      <c r="J86">
        <f t="shared" si="10"/>
        <v>19</v>
      </c>
      <c r="K86" t="str">
        <f t="shared" si="11"/>
        <v>Beds</v>
      </c>
      <c r="L86" t="str">
        <f t="shared" si="12"/>
        <v xml:space="preserve">    category: 'Beds',</v>
      </c>
    </row>
    <row r="87" spans="1:12" x14ac:dyDescent="0.25">
      <c r="A87" t="s">
        <v>289</v>
      </c>
      <c r="H87">
        <f t="shared" si="8"/>
        <v>10</v>
      </c>
      <c r="I87" t="str">
        <f t="shared" si="9"/>
        <v xml:space="preserve">    price:</v>
      </c>
      <c r="J87">
        <f t="shared" si="10"/>
        <v>15</v>
      </c>
      <c r="K87" t="str">
        <f t="shared" si="11"/>
        <v>795</v>
      </c>
      <c r="L87" t="str">
        <f t="shared" si="12"/>
        <v xml:space="preserve">    price: '795',</v>
      </c>
    </row>
    <row r="88" spans="1:12" x14ac:dyDescent="0.25">
      <c r="A88" t="s">
        <v>290</v>
      </c>
      <c r="H88">
        <f t="shared" si="8"/>
        <v>16</v>
      </c>
      <c r="I88" t="str">
        <f t="shared" si="9"/>
        <v xml:space="preserve">    description:</v>
      </c>
      <c r="J88">
        <f t="shared" si="10"/>
        <v>63</v>
      </c>
      <c r="K88" t="str">
        <f t="shared" si="11"/>
        <v>Bed frame w storage and headboard, 140x200 cm</v>
      </c>
      <c r="L88" t="str">
        <f t="shared" si="12"/>
        <v xml:space="preserve">    description: 'Bed frame w storage and headboard, 140x200 cm',</v>
      </c>
    </row>
    <row r="89" spans="1:12" x14ac:dyDescent="0.25">
      <c r="A89" t="s">
        <v>291</v>
      </c>
      <c r="H89">
        <f t="shared" si="8"/>
        <v>13</v>
      </c>
      <c r="I89" t="str">
        <f t="shared" si="9"/>
        <v xml:space="preserve">    designer:</v>
      </c>
      <c r="J89">
        <f t="shared" si="10"/>
        <v>48</v>
      </c>
      <c r="K89" t="str">
        <f t="shared" si="11"/>
        <v>K Hagberg/M Hagberg/IKEA of Swede</v>
      </c>
      <c r="L89" t="str">
        <f t="shared" si="12"/>
        <v xml:space="preserve">    designer: 'K Hagberg/M Hagberg/IKEA of Swede',</v>
      </c>
    </row>
    <row r="90" spans="1:12" x14ac:dyDescent="0.25">
      <c r="A90" t="s">
        <v>522</v>
      </c>
      <c r="H90" t="e">
        <f t="shared" si="8"/>
        <v>#VALUE!</v>
      </c>
      <c r="I90" t="e">
        <f t="shared" si="9"/>
        <v>#VALUE!</v>
      </c>
      <c r="J90">
        <f t="shared" si="10"/>
        <v>4</v>
      </c>
      <c r="K90" t="e">
        <f t="shared" si="11"/>
        <v>#VALUE!</v>
      </c>
      <c r="L90" t="str">
        <f>A90</f>
        <v xml:space="preserve">  },</v>
      </c>
    </row>
    <row r="91" spans="1:12" x14ac:dyDescent="0.25">
      <c r="A91" t="s">
        <v>238</v>
      </c>
      <c r="H91" t="e">
        <f t="shared" si="8"/>
        <v>#VALUE!</v>
      </c>
      <c r="I91" t="e">
        <f t="shared" si="9"/>
        <v>#VALUE!</v>
      </c>
      <c r="J91">
        <f t="shared" si="10"/>
        <v>3</v>
      </c>
      <c r="K91" t="e">
        <f t="shared" si="11"/>
        <v>#VALUE!</v>
      </c>
      <c r="L91" t="str">
        <f>A91</f>
        <v xml:space="preserve">  {</v>
      </c>
    </row>
    <row r="92" spans="1:12" x14ac:dyDescent="0.25">
      <c r="A92" t="s">
        <v>292</v>
      </c>
      <c r="H92">
        <f t="shared" si="8"/>
        <v>9</v>
      </c>
      <c r="I92" t="str">
        <f t="shared" si="9"/>
        <v xml:space="preserve">    guid:</v>
      </c>
      <c r="J92">
        <f t="shared" si="10"/>
        <v>47</v>
      </c>
      <c r="K92" t="str">
        <f t="shared" si="11"/>
        <v>1442e20e-80ea-aaea-6c88-2006fb5aab51</v>
      </c>
      <c r="L92" t="str">
        <f t="shared" si="12"/>
        <v xml:space="preserve">    guid: '1442e20e-80ea-aaea-6c88-2006fb5aab51',</v>
      </c>
    </row>
    <row r="93" spans="1:12" x14ac:dyDescent="0.25">
      <c r="A93" t="s">
        <v>293</v>
      </c>
      <c r="H93">
        <f t="shared" si="8"/>
        <v>9</v>
      </c>
      <c r="I93" t="str">
        <f t="shared" si="9"/>
        <v xml:space="preserve">    name:</v>
      </c>
      <c r="J93">
        <f t="shared" si="10"/>
        <v>17</v>
      </c>
      <c r="K93" t="str">
        <f t="shared" si="11"/>
        <v>NEIDEN</v>
      </c>
      <c r="L93" t="str">
        <f t="shared" si="12"/>
        <v xml:space="preserve">    name: 'NEIDEN',</v>
      </c>
    </row>
    <row r="94" spans="1:12" x14ac:dyDescent="0.25">
      <c r="A94" t="s">
        <v>288</v>
      </c>
      <c r="H94">
        <f t="shared" si="8"/>
        <v>13</v>
      </c>
      <c r="I94" t="str">
        <f t="shared" si="9"/>
        <v xml:space="preserve">    category:</v>
      </c>
      <c r="J94">
        <f t="shared" si="10"/>
        <v>19</v>
      </c>
      <c r="K94" t="str">
        <f t="shared" si="11"/>
        <v>Beds</v>
      </c>
      <c r="L94" t="str">
        <f t="shared" si="12"/>
        <v xml:space="preserve">    category: 'Beds',</v>
      </c>
    </row>
    <row r="95" spans="1:12" x14ac:dyDescent="0.25">
      <c r="A95" t="s">
        <v>294</v>
      </c>
      <c r="H95">
        <f t="shared" si="8"/>
        <v>10</v>
      </c>
      <c r="I95" t="str">
        <f t="shared" si="9"/>
        <v xml:space="preserve">    price:</v>
      </c>
      <c r="J95">
        <f t="shared" si="10"/>
        <v>14</v>
      </c>
      <c r="K95" t="str">
        <f t="shared" si="11"/>
        <v>99</v>
      </c>
      <c r="L95" t="str">
        <f t="shared" si="12"/>
        <v xml:space="preserve">    price: '99',</v>
      </c>
    </row>
    <row r="96" spans="1:12" x14ac:dyDescent="0.25">
      <c r="A96" t="s">
        <v>295</v>
      </c>
      <c r="H96">
        <f t="shared" si="8"/>
        <v>16</v>
      </c>
      <c r="I96" t="str">
        <f t="shared" si="9"/>
        <v xml:space="preserve">    description:</v>
      </c>
      <c r="J96">
        <f t="shared" si="10"/>
        <v>38</v>
      </c>
      <c r="K96" t="str">
        <f t="shared" si="11"/>
        <v>Bed frame, 90x200 cm</v>
      </c>
      <c r="L96" t="str">
        <f t="shared" si="12"/>
        <v xml:space="preserve">    description: 'Bed frame, 90x200 cm',</v>
      </c>
    </row>
    <row r="97" spans="1:12" x14ac:dyDescent="0.25">
      <c r="A97" t="s">
        <v>296</v>
      </c>
      <c r="H97">
        <f t="shared" si="8"/>
        <v>13</v>
      </c>
      <c r="I97" t="str">
        <f t="shared" si="9"/>
        <v xml:space="preserve">    designer:</v>
      </c>
      <c r="J97">
        <f t="shared" si="10"/>
        <v>26</v>
      </c>
      <c r="K97" t="str">
        <f t="shared" si="11"/>
        <v>Jon Karlsso</v>
      </c>
      <c r="L97" t="str">
        <f t="shared" si="12"/>
        <v xml:space="preserve">    designer: 'Jon Karlsso',</v>
      </c>
    </row>
    <row r="98" spans="1:12" x14ac:dyDescent="0.25">
      <c r="A98" t="s">
        <v>522</v>
      </c>
      <c r="H98" t="e">
        <f t="shared" si="8"/>
        <v>#VALUE!</v>
      </c>
      <c r="I98" t="e">
        <f t="shared" si="9"/>
        <v>#VALUE!</v>
      </c>
      <c r="J98">
        <f t="shared" si="10"/>
        <v>4</v>
      </c>
      <c r="K98" t="e">
        <f t="shared" si="11"/>
        <v>#VALUE!</v>
      </c>
      <c r="L98" t="str">
        <f>A98</f>
        <v xml:space="preserve">  },</v>
      </c>
    </row>
    <row r="99" spans="1:12" x14ac:dyDescent="0.25">
      <c r="A99" t="s">
        <v>238</v>
      </c>
      <c r="H99" t="e">
        <f t="shared" si="8"/>
        <v>#VALUE!</v>
      </c>
      <c r="I99" t="e">
        <f t="shared" si="9"/>
        <v>#VALUE!</v>
      </c>
      <c r="J99">
        <f t="shared" si="10"/>
        <v>3</v>
      </c>
      <c r="K99" t="e">
        <f t="shared" si="11"/>
        <v>#VALUE!</v>
      </c>
      <c r="L99" t="str">
        <f>A99</f>
        <v xml:space="preserve">  {</v>
      </c>
    </row>
    <row r="100" spans="1:12" x14ac:dyDescent="0.25">
      <c r="A100" t="s">
        <v>297</v>
      </c>
      <c r="H100">
        <f t="shared" si="8"/>
        <v>9</v>
      </c>
      <c r="I100" t="str">
        <f t="shared" si="9"/>
        <v xml:space="preserve">    guid:</v>
      </c>
      <c r="J100">
        <f t="shared" si="10"/>
        <v>47</v>
      </c>
      <c r="K100" t="str">
        <f t="shared" si="11"/>
        <v>89f5aff1-e712-49f5-5e15-cff7c7645586</v>
      </c>
      <c r="L100" t="str">
        <f t="shared" si="12"/>
        <v xml:space="preserve">    guid: '89f5aff1-e712-49f5-5e15-cff7c7645586',</v>
      </c>
    </row>
    <row r="101" spans="1:12" x14ac:dyDescent="0.25">
      <c r="A101" t="s">
        <v>298</v>
      </c>
      <c r="H101">
        <f t="shared" si="8"/>
        <v>9</v>
      </c>
      <c r="I101" t="str">
        <f t="shared" si="9"/>
        <v xml:space="preserve">    name:</v>
      </c>
      <c r="J101">
        <f t="shared" si="10"/>
        <v>18</v>
      </c>
      <c r="K101" t="str">
        <f t="shared" si="11"/>
        <v>LEIRVIK</v>
      </c>
      <c r="L101" t="str">
        <f t="shared" si="12"/>
        <v xml:space="preserve">    name: 'LEIRVIK',</v>
      </c>
    </row>
    <row r="102" spans="1:12" x14ac:dyDescent="0.25">
      <c r="A102" t="s">
        <v>288</v>
      </c>
      <c r="H102">
        <f t="shared" si="8"/>
        <v>13</v>
      </c>
      <c r="I102" t="str">
        <f t="shared" si="9"/>
        <v xml:space="preserve">    category:</v>
      </c>
      <c r="J102">
        <f t="shared" si="10"/>
        <v>19</v>
      </c>
      <c r="K102" t="str">
        <f t="shared" si="11"/>
        <v>Beds</v>
      </c>
      <c r="L102" t="str">
        <f t="shared" si="12"/>
        <v xml:space="preserve">    category: 'Beds',</v>
      </c>
    </row>
    <row r="103" spans="1:12" x14ac:dyDescent="0.25">
      <c r="A103" t="s">
        <v>299</v>
      </c>
      <c r="H103">
        <f t="shared" si="8"/>
        <v>10</v>
      </c>
      <c r="I103" t="str">
        <f t="shared" si="9"/>
        <v xml:space="preserve">    price:</v>
      </c>
      <c r="J103">
        <f t="shared" si="10"/>
        <v>16</v>
      </c>
      <c r="K103" t="str">
        <f t="shared" si="11"/>
        <v>1195</v>
      </c>
      <c r="L103" t="str">
        <f t="shared" si="12"/>
        <v xml:space="preserve">    price: '1195',</v>
      </c>
    </row>
    <row r="104" spans="1:12" x14ac:dyDescent="0.25">
      <c r="A104" t="s">
        <v>300</v>
      </c>
      <c r="H104">
        <f t="shared" si="8"/>
        <v>16</v>
      </c>
      <c r="I104" t="str">
        <f t="shared" si="9"/>
        <v xml:space="preserve">    description:</v>
      </c>
      <c r="J104">
        <f t="shared" si="10"/>
        <v>39</v>
      </c>
      <c r="K104" t="str">
        <f t="shared" si="11"/>
        <v>Bed frame, 180x200 cm</v>
      </c>
      <c r="L104" t="str">
        <f t="shared" si="12"/>
        <v xml:space="preserve">    description: 'Bed frame, 180x200 cm',</v>
      </c>
    </row>
    <row r="105" spans="1:12" x14ac:dyDescent="0.25">
      <c r="A105" t="s">
        <v>301</v>
      </c>
      <c r="H105">
        <f t="shared" si="8"/>
        <v>13</v>
      </c>
      <c r="I105" t="str">
        <f t="shared" si="9"/>
        <v xml:space="preserve">    designer:</v>
      </c>
      <c r="J105">
        <f t="shared" si="10"/>
        <v>41</v>
      </c>
      <c r="K105" t="str">
        <f t="shared" si="11"/>
        <v>IKEA of Sweden/Carina Beng</v>
      </c>
      <c r="L105" t="str">
        <f t="shared" si="12"/>
        <v xml:space="preserve">    designer: 'IKEA of Sweden/Carina Beng',</v>
      </c>
    </row>
    <row r="106" spans="1:12" x14ac:dyDescent="0.25">
      <c r="A106" t="s">
        <v>522</v>
      </c>
      <c r="H106" t="e">
        <f t="shared" si="8"/>
        <v>#VALUE!</v>
      </c>
      <c r="I106" t="e">
        <f t="shared" si="9"/>
        <v>#VALUE!</v>
      </c>
      <c r="J106">
        <f t="shared" si="10"/>
        <v>4</v>
      </c>
      <c r="K106" t="e">
        <f t="shared" si="11"/>
        <v>#VALUE!</v>
      </c>
      <c r="L106" t="str">
        <f>A106</f>
        <v xml:space="preserve">  },</v>
      </c>
    </row>
    <row r="107" spans="1:12" x14ac:dyDescent="0.25">
      <c r="A107" t="s">
        <v>238</v>
      </c>
      <c r="H107" t="e">
        <f t="shared" si="8"/>
        <v>#VALUE!</v>
      </c>
      <c r="I107" t="e">
        <f t="shared" si="9"/>
        <v>#VALUE!</v>
      </c>
      <c r="J107">
        <f t="shared" si="10"/>
        <v>3</v>
      </c>
      <c r="K107" t="e">
        <f t="shared" si="11"/>
        <v>#VALUE!</v>
      </c>
      <c r="L107" t="str">
        <f>A107</f>
        <v xml:space="preserve">  {</v>
      </c>
    </row>
    <row r="108" spans="1:12" x14ac:dyDescent="0.25">
      <c r="A108" t="s">
        <v>302</v>
      </c>
      <c r="H108">
        <f t="shared" si="8"/>
        <v>9</v>
      </c>
      <c r="I108" t="str">
        <f t="shared" si="9"/>
        <v xml:space="preserve">    guid:</v>
      </c>
      <c r="J108">
        <f t="shared" si="10"/>
        <v>47</v>
      </c>
      <c r="K108" t="str">
        <f t="shared" si="11"/>
        <v>51148054-1df2-9f84-4d39-e4a81cf67b54</v>
      </c>
      <c r="L108" t="str">
        <f t="shared" si="12"/>
        <v xml:space="preserve">    guid: '51148054-1df2-9f84-4d39-e4a81cf67b54',</v>
      </c>
    </row>
    <row r="109" spans="1:12" x14ac:dyDescent="0.25">
      <c r="A109" t="s">
        <v>293</v>
      </c>
      <c r="H109">
        <f t="shared" si="8"/>
        <v>9</v>
      </c>
      <c r="I109" t="str">
        <f t="shared" si="9"/>
        <v xml:space="preserve">    name:</v>
      </c>
      <c r="J109">
        <f t="shared" si="10"/>
        <v>17</v>
      </c>
      <c r="K109" t="str">
        <f t="shared" si="11"/>
        <v>NEIDEN</v>
      </c>
      <c r="L109" t="str">
        <f t="shared" si="12"/>
        <v xml:space="preserve">    name: 'NEIDEN',</v>
      </c>
    </row>
    <row r="110" spans="1:12" x14ac:dyDescent="0.25">
      <c r="A110" t="s">
        <v>288</v>
      </c>
      <c r="H110">
        <f t="shared" si="8"/>
        <v>13</v>
      </c>
      <c r="I110" t="str">
        <f t="shared" si="9"/>
        <v xml:space="preserve">    category:</v>
      </c>
      <c r="J110">
        <f t="shared" si="10"/>
        <v>19</v>
      </c>
      <c r="K110" t="str">
        <f t="shared" si="11"/>
        <v>Beds</v>
      </c>
      <c r="L110" t="str">
        <f t="shared" si="12"/>
        <v xml:space="preserve">    category: 'Beds',</v>
      </c>
    </row>
    <row r="111" spans="1:12" x14ac:dyDescent="0.25">
      <c r="A111" t="s">
        <v>303</v>
      </c>
      <c r="H111">
        <f t="shared" si="8"/>
        <v>10</v>
      </c>
      <c r="I111" t="str">
        <f t="shared" si="9"/>
        <v xml:space="preserve">    price:</v>
      </c>
      <c r="J111">
        <f t="shared" si="10"/>
        <v>15</v>
      </c>
      <c r="K111" t="str">
        <f t="shared" si="11"/>
        <v>199</v>
      </c>
      <c r="L111" t="str">
        <f t="shared" si="12"/>
        <v xml:space="preserve">    price: '199',</v>
      </c>
    </row>
    <row r="112" spans="1:12" x14ac:dyDescent="0.25">
      <c r="A112" t="s">
        <v>304</v>
      </c>
      <c r="H112">
        <f t="shared" si="8"/>
        <v>16</v>
      </c>
      <c r="I112" t="str">
        <f t="shared" si="9"/>
        <v xml:space="preserve">    description:</v>
      </c>
      <c r="J112">
        <f t="shared" si="10"/>
        <v>39</v>
      </c>
      <c r="K112" t="str">
        <f t="shared" si="11"/>
        <v>Bed frame, 140x200 cm</v>
      </c>
      <c r="L112" t="str">
        <f t="shared" si="12"/>
        <v xml:space="preserve">    description: 'Bed frame, 140x200 cm',</v>
      </c>
    </row>
    <row r="113" spans="1:12" x14ac:dyDescent="0.25">
      <c r="A113" t="s">
        <v>296</v>
      </c>
      <c r="H113">
        <f t="shared" si="8"/>
        <v>13</v>
      </c>
      <c r="I113" t="str">
        <f t="shared" si="9"/>
        <v xml:space="preserve">    designer:</v>
      </c>
      <c r="J113">
        <f t="shared" si="10"/>
        <v>26</v>
      </c>
      <c r="K113" t="str">
        <f t="shared" si="11"/>
        <v>Jon Karlsso</v>
      </c>
      <c r="L113" t="str">
        <f t="shared" si="12"/>
        <v xml:space="preserve">    designer: 'Jon Karlsso',</v>
      </c>
    </row>
    <row r="114" spans="1:12" x14ac:dyDescent="0.25">
      <c r="A114" t="s">
        <v>522</v>
      </c>
      <c r="H114" t="e">
        <f t="shared" si="8"/>
        <v>#VALUE!</v>
      </c>
      <c r="I114" t="e">
        <f t="shared" si="9"/>
        <v>#VALUE!</v>
      </c>
      <c r="J114">
        <f t="shared" si="10"/>
        <v>4</v>
      </c>
      <c r="K114" t="e">
        <f t="shared" si="11"/>
        <v>#VALUE!</v>
      </c>
      <c r="L114" t="str">
        <f>A114</f>
        <v xml:space="preserve">  },</v>
      </c>
    </row>
    <row r="115" spans="1:12" x14ac:dyDescent="0.25">
      <c r="A115" t="s">
        <v>238</v>
      </c>
      <c r="H115" t="e">
        <f t="shared" si="8"/>
        <v>#VALUE!</v>
      </c>
      <c r="I115" t="e">
        <f t="shared" si="9"/>
        <v>#VALUE!</v>
      </c>
      <c r="J115">
        <f t="shared" si="10"/>
        <v>3</v>
      </c>
      <c r="K115" t="e">
        <f t="shared" si="11"/>
        <v>#VALUE!</v>
      </c>
      <c r="L115" t="str">
        <f>A115</f>
        <v xml:space="preserve">  {</v>
      </c>
    </row>
    <row r="116" spans="1:12" x14ac:dyDescent="0.25">
      <c r="A116" t="s">
        <v>305</v>
      </c>
      <c r="H116">
        <f t="shared" si="8"/>
        <v>9</v>
      </c>
      <c r="I116" t="str">
        <f t="shared" si="9"/>
        <v xml:space="preserve">    guid:</v>
      </c>
      <c r="J116">
        <f t="shared" si="10"/>
        <v>47</v>
      </c>
      <c r="K116" t="str">
        <f t="shared" si="11"/>
        <v>a2d45cb9-d09d-ba7a-96f6-56c1a34060e9</v>
      </c>
      <c r="L116" t="str">
        <f t="shared" si="12"/>
        <v xml:space="preserve">    guid: 'a2d45cb9-d09d-ba7a-96f6-56c1a34060e9',</v>
      </c>
    </row>
    <row r="117" spans="1:12" x14ac:dyDescent="0.25">
      <c r="A117" t="s">
        <v>306</v>
      </c>
      <c r="H117">
        <f t="shared" si="8"/>
        <v>9</v>
      </c>
      <c r="I117" t="str">
        <f t="shared" si="9"/>
        <v xml:space="preserve">    name:</v>
      </c>
      <c r="J117">
        <f t="shared" si="10"/>
        <v>17</v>
      </c>
      <c r="K117" t="str">
        <f t="shared" si="11"/>
        <v>HEMNES</v>
      </c>
      <c r="L117" t="str">
        <f t="shared" si="12"/>
        <v xml:space="preserve">    name: 'HEMNES',</v>
      </c>
    </row>
    <row r="118" spans="1:12" x14ac:dyDescent="0.25">
      <c r="A118" t="s">
        <v>288</v>
      </c>
      <c r="H118">
        <f t="shared" si="8"/>
        <v>13</v>
      </c>
      <c r="I118" t="str">
        <f t="shared" si="9"/>
        <v xml:space="preserve">    category:</v>
      </c>
      <c r="J118">
        <f t="shared" si="10"/>
        <v>19</v>
      </c>
      <c r="K118" t="str">
        <f t="shared" si="11"/>
        <v>Beds</v>
      </c>
      <c r="L118" t="str">
        <f t="shared" si="12"/>
        <v xml:space="preserve">    category: 'Beds',</v>
      </c>
    </row>
    <row r="119" spans="1:12" x14ac:dyDescent="0.25">
      <c r="A119" t="s">
        <v>307</v>
      </c>
      <c r="H119">
        <f t="shared" si="8"/>
        <v>10</v>
      </c>
      <c r="I119" t="str">
        <f t="shared" si="9"/>
        <v xml:space="preserve">    price:</v>
      </c>
      <c r="J119">
        <f t="shared" si="10"/>
        <v>15</v>
      </c>
      <c r="K119" t="str">
        <f t="shared" si="11"/>
        <v>675</v>
      </c>
      <c r="L119" t="str">
        <f t="shared" si="12"/>
        <v xml:space="preserve">    price: '675',</v>
      </c>
    </row>
    <row r="120" spans="1:12" x14ac:dyDescent="0.25">
      <c r="A120" t="s">
        <v>304</v>
      </c>
      <c r="H120">
        <f t="shared" si="8"/>
        <v>16</v>
      </c>
      <c r="I120" t="str">
        <f t="shared" si="9"/>
        <v xml:space="preserve">    description:</v>
      </c>
      <c r="J120">
        <f t="shared" si="10"/>
        <v>39</v>
      </c>
      <c r="K120" t="str">
        <f t="shared" si="11"/>
        <v>Bed frame, 140x200 cm</v>
      </c>
      <c r="L120" t="str">
        <f t="shared" si="12"/>
        <v xml:space="preserve">    description: 'Bed frame, 140x200 cm',</v>
      </c>
    </row>
    <row r="121" spans="1:12" x14ac:dyDescent="0.25">
      <c r="A121" t="s">
        <v>301</v>
      </c>
      <c r="H121">
        <f t="shared" si="8"/>
        <v>13</v>
      </c>
      <c r="I121" t="str">
        <f t="shared" si="9"/>
        <v xml:space="preserve">    designer:</v>
      </c>
      <c r="J121">
        <f t="shared" si="10"/>
        <v>41</v>
      </c>
      <c r="K121" t="str">
        <f t="shared" si="11"/>
        <v>IKEA of Sweden/Carina Beng</v>
      </c>
      <c r="L121" t="str">
        <f t="shared" si="12"/>
        <v xml:space="preserve">    designer: 'IKEA of Sweden/Carina Beng',</v>
      </c>
    </row>
    <row r="122" spans="1:12" x14ac:dyDescent="0.25">
      <c r="A122" t="s">
        <v>522</v>
      </c>
      <c r="H122" t="e">
        <f t="shared" si="8"/>
        <v>#VALUE!</v>
      </c>
      <c r="I122" t="e">
        <f t="shared" si="9"/>
        <v>#VALUE!</v>
      </c>
      <c r="J122">
        <f t="shared" si="10"/>
        <v>4</v>
      </c>
      <c r="K122" t="e">
        <f t="shared" si="11"/>
        <v>#VALUE!</v>
      </c>
      <c r="L122" t="str">
        <f>A122</f>
        <v xml:space="preserve">  },</v>
      </c>
    </row>
    <row r="123" spans="1:12" x14ac:dyDescent="0.25">
      <c r="A123" t="s">
        <v>238</v>
      </c>
      <c r="H123" t="e">
        <f t="shared" si="8"/>
        <v>#VALUE!</v>
      </c>
      <c r="I123" t="e">
        <f t="shared" si="9"/>
        <v>#VALUE!</v>
      </c>
      <c r="J123">
        <f t="shared" si="10"/>
        <v>3</v>
      </c>
      <c r="K123" t="e">
        <f t="shared" si="11"/>
        <v>#VALUE!</v>
      </c>
      <c r="L123" t="str">
        <f>A123</f>
        <v xml:space="preserve">  {</v>
      </c>
    </row>
    <row r="124" spans="1:12" x14ac:dyDescent="0.25">
      <c r="A124" t="s">
        <v>308</v>
      </c>
      <c r="H124">
        <f t="shared" si="8"/>
        <v>9</v>
      </c>
      <c r="I124" t="str">
        <f t="shared" si="9"/>
        <v xml:space="preserve">    guid:</v>
      </c>
      <c r="J124">
        <f t="shared" si="10"/>
        <v>47</v>
      </c>
      <c r="K124" t="str">
        <f t="shared" si="11"/>
        <v>f72475e8-f0e0-f5c8-54c6-0d9d186c7192</v>
      </c>
      <c r="L124" t="str">
        <f t="shared" si="12"/>
        <v xml:space="preserve">    guid: 'f72475e8-f0e0-f5c8-54c6-0d9d186c7192',</v>
      </c>
    </row>
    <row r="125" spans="1:12" x14ac:dyDescent="0.25">
      <c r="A125" t="s">
        <v>309</v>
      </c>
      <c r="H125">
        <f t="shared" si="8"/>
        <v>9</v>
      </c>
      <c r="I125" t="str">
        <f t="shared" si="9"/>
        <v xml:space="preserve">    name:</v>
      </c>
      <c r="J125">
        <f t="shared" si="10"/>
        <v>18</v>
      </c>
      <c r="K125" t="str">
        <f t="shared" si="11"/>
        <v>SLATTUM</v>
      </c>
      <c r="L125" t="str">
        <f t="shared" si="12"/>
        <v xml:space="preserve">    name: 'SLATTUM',</v>
      </c>
    </row>
    <row r="126" spans="1:12" x14ac:dyDescent="0.25">
      <c r="A126" t="s">
        <v>288</v>
      </c>
      <c r="H126">
        <f t="shared" si="8"/>
        <v>13</v>
      </c>
      <c r="I126" t="str">
        <f t="shared" si="9"/>
        <v xml:space="preserve">    category:</v>
      </c>
      <c r="J126">
        <f t="shared" si="10"/>
        <v>19</v>
      </c>
      <c r="K126" t="str">
        <f t="shared" si="11"/>
        <v>Beds</v>
      </c>
      <c r="L126" t="str">
        <f t="shared" si="12"/>
        <v xml:space="preserve">    category: 'Beds',</v>
      </c>
    </row>
    <row r="127" spans="1:12" x14ac:dyDescent="0.25">
      <c r="A127" t="s">
        <v>310</v>
      </c>
      <c r="H127">
        <f t="shared" si="8"/>
        <v>10</v>
      </c>
      <c r="I127" t="str">
        <f t="shared" si="9"/>
        <v xml:space="preserve">    price:</v>
      </c>
      <c r="J127">
        <f t="shared" si="10"/>
        <v>15</v>
      </c>
      <c r="K127" t="str">
        <f t="shared" si="11"/>
        <v>595</v>
      </c>
      <c r="L127" t="str">
        <f t="shared" si="12"/>
        <v xml:space="preserve">    price: '595',</v>
      </c>
    </row>
    <row r="128" spans="1:12" x14ac:dyDescent="0.25">
      <c r="A128" t="s">
        <v>311</v>
      </c>
      <c r="H128">
        <f t="shared" si="8"/>
        <v>16</v>
      </c>
      <c r="I128" t="str">
        <f t="shared" si="9"/>
        <v xml:space="preserve">    description:</v>
      </c>
      <c r="J128">
        <f t="shared" si="10"/>
        <v>51</v>
      </c>
      <c r="K128" t="str">
        <f t="shared" si="11"/>
        <v>Upholstered bed frame, 140x200 cm</v>
      </c>
      <c r="L128" t="str">
        <f t="shared" si="12"/>
        <v xml:space="preserve">    description: 'Upholstered bed frame, 140x200 cm',</v>
      </c>
    </row>
    <row r="129" spans="1:12" x14ac:dyDescent="0.25">
      <c r="A129" t="s">
        <v>312</v>
      </c>
      <c r="H129">
        <f t="shared" si="8"/>
        <v>13</v>
      </c>
      <c r="I129" t="str">
        <f t="shared" si="9"/>
        <v xml:space="preserve">    designer:</v>
      </c>
      <c r="J129">
        <f t="shared" si="10"/>
        <v>24</v>
      </c>
      <c r="K129" t="str">
        <f t="shared" si="11"/>
        <v>David Wah</v>
      </c>
      <c r="L129" t="str">
        <f t="shared" si="12"/>
        <v xml:space="preserve">    designer: 'David Wah',</v>
      </c>
    </row>
    <row r="130" spans="1:12" x14ac:dyDescent="0.25">
      <c r="A130" t="s">
        <v>522</v>
      </c>
      <c r="H130" t="e">
        <f t="shared" si="8"/>
        <v>#VALUE!</v>
      </c>
      <c r="I130" t="e">
        <f t="shared" si="9"/>
        <v>#VALUE!</v>
      </c>
      <c r="J130">
        <f t="shared" si="10"/>
        <v>4</v>
      </c>
      <c r="K130" t="e">
        <f t="shared" si="11"/>
        <v>#VALUE!</v>
      </c>
      <c r="L130" t="str">
        <f>A130</f>
        <v xml:space="preserve">  },</v>
      </c>
    </row>
    <row r="131" spans="1:12" x14ac:dyDescent="0.25">
      <c r="A131" t="s">
        <v>238</v>
      </c>
      <c r="H131" t="e">
        <f t="shared" si="8"/>
        <v>#VALUE!</v>
      </c>
      <c r="I131" t="e">
        <f t="shared" si="9"/>
        <v>#VALUE!</v>
      </c>
      <c r="J131">
        <f t="shared" si="10"/>
        <v>3</v>
      </c>
      <c r="K131" t="e">
        <f t="shared" si="11"/>
        <v>#VALUE!</v>
      </c>
      <c r="L131" t="str">
        <f>A131</f>
        <v xml:space="preserve">  {</v>
      </c>
    </row>
    <row r="132" spans="1:12" x14ac:dyDescent="0.25">
      <c r="A132" t="s">
        <v>313</v>
      </c>
      <c r="H132">
        <f t="shared" si="8"/>
        <v>9</v>
      </c>
      <c r="I132" t="str">
        <f t="shared" si="9"/>
        <v xml:space="preserve">    guid:</v>
      </c>
      <c r="J132">
        <f t="shared" si="10"/>
        <v>47</v>
      </c>
      <c r="K132" t="str">
        <f t="shared" si="11"/>
        <v>2f37aa0c-f1ef-f848-9a93-5be24fabb39a</v>
      </c>
      <c r="L132" t="str">
        <f t="shared" si="12"/>
        <v xml:space="preserve">    guid: '2f37aa0c-f1ef-f848-9a93-5be24fabb39a',</v>
      </c>
    </row>
    <row r="133" spans="1:12" x14ac:dyDescent="0.25">
      <c r="A133" t="s">
        <v>293</v>
      </c>
      <c r="H133">
        <f t="shared" ref="H133:H196" si="13">SEARCH(":",A133)</f>
        <v>9</v>
      </c>
      <c r="I133" t="str">
        <f t="shared" ref="I133:I196" si="14">LOWER(LEFT(A133,H133))</f>
        <v xml:space="preserve">    name:</v>
      </c>
      <c r="J133">
        <f t="shared" ref="J133:J196" si="15">LEN(A133)</f>
        <v>17</v>
      </c>
      <c r="K133" t="str">
        <f t="shared" ref="K133:K196" si="16">MID(A133,H133+2,J133-H133-2)</f>
        <v>NEIDEN</v>
      </c>
      <c r="L133" t="str">
        <f t="shared" ref="L133:L196" si="17">_xlfn.CONCAT(I133," '",K133,"'",",")</f>
        <v xml:space="preserve">    name: 'NEIDEN',</v>
      </c>
    </row>
    <row r="134" spans="1:12" x14ac:dyDescent="0.25">
      <c r="A134" t="s">
        <v>288</v>
      </c>
      <c r="H134">
        <f t="shared" si="13"/>
        <v>13</v>
      </c>
      <c r="I134" t="str">
        <f t="shared" si="14"/>
        <v xml:space="preserve">    category:</v>
      </c>
      <c r="J134">
        <f t="shared" si="15"/>
        <v>19</v>
      </c>
      <c r="K134" t="str">
        <f t="shared" si="16"/>
        <v>Beds</v>
      </c>
      <c r="L134" t="str">
        <f t="shared" si="17"/>
        <v xml:space="preserve">    category: 'Beds',</v>
      </c>
    </row>
    <row r="135" spans="1:12" x14ac:dyDescent="0.25">
      <c r="A135" t="s">
        <v>303</v>
      </c>
      <c r="H135">
        <f t="shared" si="13"/>
        <v>10</v>
      </c>
      <c r="I135" t="str">
        <f t="shared" si="14"/>
        <v xml:space="preserve">    price:</v>
      </c>
      <c r="J135">
        <f t="shared" si="15"/>
        <v>15</v>
      </c>
      <c r="K135" t="str">
        <f t="shared" si="16"/>
        <v>199</v>
      </c>
      <c r="L135" t="str">
        <f t="shared" si="17"/>
        <v xml:space="preserve">    price: '199',</v>
      </c>
    </row>
    <row r="136" spans="1:12" x14ac:dyDescent="0.25">
      <c r="A136" t="s">
        <v>295</v>
      </c>
      <c r="H136">
        <f t="shared" si="13"/>
        <v>16</v>
      </c>
      <c r="I136" t="str">
        <f t="shared" si="14"/>
        <v xml:space="preserve">    description:</v>
      </c>
      <c r="J136">
        <f t="shared" si="15"/>
        <v>38</v>
      </c>
      <c r="K136" t="str">
        <f t="shared" si="16"/>
        <v>Bed frame, 90x200 cm</v>
      </c>
      <c r="L136" t="str">
        <f t="shared" si="17"/>
        <v xml:space="preserve">    description: 'Bed frame, 90x200 cm',</v>
      </c>
    </row>
    <row r="137" spans="1:12" x14ac:dyDescent="0.25">
      <c r="A137" t="s">
        <v>314</v>
      </c>
      <c r="H137">
        <f t="shared" si="13"/>
        <v>13</v>
      </c>
      <c r="I137" t="str">
        <f t="shared" si="14"/>
        <v xml:space="preserve">    designer:</v>
      </c>
      <c r="J137">
        <f t="shared" si="15"/>
        <v>41</v>
      </c>
      <c r="K137" t="str">
        <f t="shared" si="16"/>
        <v>Jon Karlsson/IKEA of Swede</v>
      </c>
      <c r="L137" t="str">
        <f t="shared" si="17"/>
        <v xml:space="preserve">    designer: 'Jon Karlsson/IKEA of Swede',</v>
      </c>
    </row>
    <row r="138" spans="1:12" x14ac:dyDescent="0.25">
      <c r="A138" t="s">
        <v>522</v>
      </c>
      <c r="H138" t="e">
        <f t="shared" si="13"/>
        <v>#VALUE!</v>
      </c>
      <c r="I138" t="e">
        <f t="shared" si="14"/>
        <v>#VALUE!</v>
      </c>
      <c r="J138">
        <f t="shared" si="15"/>
        <v>4</v>
      </c>
      <c r="K138" t="e">
        <f t="shared" si="16"/>
        <v>#VALUE!</v>
      </c>
      <c r="L138" t="str">
        <f>A138</f>
        <v xml:space="preserve">  },</v>
      </c>
    </row>
    <row r="139" spans="1:12" x14ac:dyDescent="0.25">
      <c r="A139" t="s">
        <v>238</v>
      </c>
      <c r="H139" t="e">
        <f t="shared" si="13"/>
        <v>#VALUE!</v>
      </c>
      <c r="I139" t="e">
        <f t="shared" si="14"/>
        <v>#VALUE!</v>
      </c>
      <c r="J139">
        <f t="shared" si="15"/>
        <v>3</v>
      </c>
      <c r="K139" t="e">
        <f t="shared" si="16"/>
        <v>#VALUE!</v>
      </c>
      <c r="L139" t="str">
        <f>A139</f>
        <v xml:space="preserve">  {</v>
      </c>
    </row>
    <row r="140" spans="1:12" x14ac:dyDescent="0.25">
      <c r="A140" t="s">
        <v>315</v>
      </c>
      <c r="H140">
        <f t="shared" si="13"/>
        <v>9</v>
      </c>
      <c r="I140" t="str">
        <f t="shared" si="14"/>
        <v xml:space="preserve">    guid:</v>
      </c>
      <c r="J140">
        <f t="shared" si="15"/>
        <v>47</v>
      </c>
      <c r="K140" t="str">
        <f t="shared" si="16"/>
        <v>fa5de624-bd79-ad74-4724-929e6b7157fc</v>
      </c>
      <c r="L140" t="str">
        <f t="shared" si="17"/>
        <v xml:space="preserve">    guid: 'fa5de624-bd79-ad74-4724-929e6b7157fc',</v>
      </c>
    </row>
    <row r="141" spans="1:12" x14ac:dyDescent="0.25">
      <c r="A141" t="s">
        <v>316</v>
      </c>
      <c r="H141">
        <f t="shared" si="13"/>
        <v>9</v>
      </c>
      <c r="I141" t="str">
        <f t="shared" si="14"/>
        <v xml:space="preserve">    name:</v>
      </c>
      <c r="J141">
        <f t="shared" si="15"/>
        <v>18</v>
      </c>
      <c r="K141" t="str">
        <f t="shared" si="16"/>
        <v>SAGSTUA</v>
      </c>
      <c r="L141" t="str">
        <f t="shared" si="17"/>
        <v xml:space="preserve">    name: 'SAGSTUA',</v>
      </c>
    </row>
    <row r="142" spans="1:12" x14ac:dyDescent="0.25">
      <c r="A142" t="s">
        <v>288</v>
      </c>
      <c r="H142">
        <f t="shared" si="13"/>
        <v>13</v>
      </c>
      <c r="I142" t="str">
        <f t="shared" si="14"/>
        <v xml:space="preserve">    category:</v>
      </c>
      <c r="J142">
        <f t="shared" si="15"/>
        <v>19</v>
      </c>
      <c r="K142" t="str">
        <f t="shared" si="16"/>
        <v>Beds</v>
      </c>
      <c r="L142" t="str">
        <f t="shared" si="17"/>
        <v xml:space="preserve">    category: 'Beds',</v>
      </c>
    </row>
    <row r="143" spans="1:12" x14ac:dyDescent="0.25">
      <c r="A143" t="s">
        <v>317</v>
      </c>
      <c r="H143">
        <f t="shared" si="13"/>
        <v>10</v>
      </c>
      <c r="I143" t="str">
        <f t="shared" si="14"/>
        <v xml:space="preserve">    price:</v>
      </c>
      <c r="J143">
        <f t="shared" si="15"/>
        <v>15</v>
      </c>
      <c r="K143" t="str">
        <f t="shared" si="16"/>
        <v>545</v>
      </c>
      <c r="L143" t="str">
        <f t="shared" si="17"/>
        <v xml:space="preserve">    price: '545',</v>
      </c>
    </row>
    <row r="144" spans="1:12" x14ac:dyDescent="0.25">
      <c r="A144" t="s">
        <v>304</v>
      </c>
      <c r="H144">
        <f t="shared" si="13"/>
        <v>16</v>
      </c>
      <c r="I144" t="str">
        <f t="shared" si="14"/>
        <v xml:space="preserve">    description:</v>
      </c>
      <c r="J144">
        <f t="shared" si="15"/>
        <v>39</v>
      </c>
      <c r="K144" t="str">
        <f t="shared" si="16"/>
        <v>Bed frame, 140x200 cm</v>
      </c>
      <c r="L144" t="str">
        <f t="shared" si="17"/>
        <v xml:space="preserve">    description: 'Bed frame, 140x200 cm',</v>
      </c>
    </row>
    <row r="145" spans="1:12" x14ac:dyDescent="0.25">
      <c r="A145" t="s">
        <v>318</v>
      </c>
      <c r="H145">
        <f t="shared" si="13"/>
        <v>13</v>
      </c>
      <c r="I145" t="str">
        <f t="shared" si="14"/>
        <v xml:space="preserve">    designer:</v>
      </c>
      <c r="J145">
        <f t="shared" si="15"/>
        <v>43</v>
      </c>
      <c r="K145" t="str">
        <f t="shared" si="16"/>
        <v>IKEA of Sweden/Paulin Machad</v>
      </c>
      <c r="L145" t="str">
        <f t="shared" si="17"/>
        <v xml:space="preserve">    designer: 'IKEA of Sweden/Paulin Machad',</v>
      </c>
    </row>
    <row r="146" spans="1:12" x14ac:dyDescent="0.25">
      <c r="A146" t="s">
        <v>522</v>
      </c>
      <c r="H146" t="e">
        <f t="shared" si="13"/>
        <v>#VALUE!</v>
      </c>
      <c r="I146" t="e">
        <f t="shared" si="14"/>
        <v>#VALUE!</v>
      </c>
      <c r="J146">
        <f t="shared" si="15"/>
        <v>4</v>
      </c>
      <c r="K146" t="e">
        <f t="shared" si="16"/>
        <v>#VALUE!</v>
      </c>
      <c r="L146" t="str">
        <f>A146</f>
        <v xml:space="preserve">  },</v>
      </c>
    </row>
    <row r="147" spans="1:12" x14ac:dyDescent="0.25">
      <c r="A147" t="s">
        <v>238</v>
      </c>
      <c r="H147" t="e">
        <f t="shared" si="13"/>
        <v>#VALUE!</v>
      </c>
      <c r="I147" t="e">
        <f t="shared" si="14"/>
        <v>#VALUE!</v>
      </c>
      <c r="J147">
        <f t="shared" si="15"/>
        <v>3</v>
      </c>
      <c r="K147" t="e">
        <f t="shared" si="16"/>
        <v>#VALUE!</v>
      </c>
      <c r="L147" t="str">
        <f>A147</f>
        <v xml:space="preserve">  {</v>
      </c>
    </row>
    <row r="148" spans="1:12" x14ac:dyDescent="0.25">
      <c r="A148" t="s">
        <v>319</v>
      </c>
      <c r="H148">
        <f t="shared" si="13"/>
        <v>9</v>
      </c>
      <c r="I148" t="str">
        <f t="shared" si="14"/>
        <v xml:space="preserve">    guid:</v>
      </c>
      <c r="J148">
        <f t="shared" si="15"/>
        <v>47</v>
      </c>
      <c r="K148" t="str">
        <f t="shared" si="16"/>
        <v>96c56ab6-e5ff-b0b1-03d9-a36b5f92fe7a</v>
      </c>
      <c r="L148" t="str">
        <f t="shared" si="17"/>
        <v xml:space="preserve">    guid: '96c56ab6-e5ff-b0b1-03d9-a36b5f92fe7a',</v>
      </c>
    </row>
    <row r="149" spans="1:12" x14ac:dyDescent="0.25">
      <c r="A149" t="s">
        <v>287</v>
      </c>
      <c r="H149">
        <f t="shared" si="13"/>
        <v>9</v>
      </c>
      <c r="I149" t="str">
        <f t="shared" si="14"/>
        <v xml:space="preserve">    name:</v>
      </c>
      <c r="J149">
        <f t="shared" si="15"/>
        <v>18</v>
      </c>
      <c r="K149" t="str">
        <f t="shared" si="16"/>
        <v>BRIMNES</v>
      </c>
      <c r="L149" t="str">
        <f t="shared" si="17"/>
        <v xml:space="preserve">    name: 'BRIMNES',</v>
      </c>
    </row>
    <row r="150" spans="1:12" x14ac:dyDescent="0.25">
      <c r="A150" t="s">
        <v>288</v>
      </c>
      <c r="H150">
        <f t="shared" si="13"/>
        <v>13</v>
      </c>
      <c r="I150" t="str">
        <f t="shared" si="14"/>
        <v xml:space="preserve">    category:</v>
      </c>
      <c r="J150">
        <f t="shared" si="15"/>
        <v>19</v>
      </c>
      <c r="K150" t="str">
        <f t="shared" si="16"/>
        <v>Beds</v>
      </c>
      <c r="L150" t="str">
        <f t="shared" si="17"/>
        <v xml:space="preserve">    category: 'Beds',</v>
      </c>
    </row>
    <row r="151" spans="1:12" x14ac:dyDescent="0.25">
      <c r="A151" t="s">
        <v>320</v>
      </c>
      <c r="H151">
        <f t="shared" si="13"/>
        <v>10</v>
      </c>
      <c r="I151" t="str">
        <f t="shared" si="14"/>
        <v xml:space="preserve">    price:</v>
      </c>
      <c r="J151">
        <f t="shared" si="15"/>
        <v>15</v>
      </c>
      <c r="K151" t="str">
        <f t="shared" si="16"/>
        <v>575</v>
      </c>
      <c r="L151" t="str">
        <f t="shared" si="17"/>
        <v xml:space="preserve">    price: '575',</v>
      </c>
    </row>
    <row r="152" spans="1:12" x14ac:dyDescent="0.25">
      <c r="A152" t="s">
        <v>321</v>
      </c>
      <c r="H152">
        <f t="shared" si="13"/>
        <v>16</v>
      </c>
      <c r="I152" t="str">
        <f t="shared" si="14"/>
        <v xml:space="preserve">    description:</v>
      </c>
      <c r="J152">
        <f t="shared" si="15"/>
        <v>51</v>
      </c>
      <c r="K152" t="str">
        <f t="shared" si="16"/>
        <v>Bed frame with storage, 90x200 cm</v>
      </c>
      <c r="L152" t="str">
        <f t="shared" si="17"/>
        <v xml:space="preserve">    description: 'Bed frame with storage, 90x200 cm',</v>
      </c>
    </row>
    <row r="153" spans="1:12" x14ac:dyDescent="0.25">
      <c r="A153" t="s">
        <v>275</v>
      </c>
      <c r="H153">
        <f t="shared" si="13"/>
        <v>13</v>
      </c>
      <c r="I153" t="str">
        <f t="shared" si="14"/>
        <v xml:space="preserve">    designer:</v>
      </c>
      <c r="J153">
        <f t="shared" si="15"/>
        <v>33</v>
      </c>
      <c r="K153" t="str">
        <f t="shared" si="16"/>
        <v>K Hagberg/M Hagber</v>
      </c>
      <c r="L153" t="str">
        <f t="shared" si="17"/>
        <v xml:space="preserve">    designer: 'K Hagberg/M Hagber',</v>
      </c>
    </row>
    <row r="154" spans="1:12" x14ac:dyDescent="0.25">
      <c r="A154" t="s">
        <v>522</v>
      </c>
      <c r="H154" t="e">
        <f t="shared" si="13"/>
        <v>#VALUE!</v>
      </c>
      <c r="I154" t="e">
        <f t="shared" si="14"/>
        <v>#VALUE!</v>
      </c>
      <c r="J154">
        <f t="shared" si="15"/>
        <v>4</v>
      </c>
      <c r="K154" t="e">
        <f t="shared" si="16"/>
        <v>#VALUE!</v>
      </c>
      <c r="L154" t="str">
        <f>A154</f>
        <v xml:space="preserve">  },</v>
      </c>
    </row>
    <row r="155" spans="1:12" x14ac:dyDescent="0.25">
      <c r="A155" t="s">
        <v>238</v>
      </c>
      <c r="H155" t="e">
        <f t="shared" si="13"/>
        <v>#VALUE!</v>
      </c>
      <c r="I155" t="e">
        <f t="shared" si="14"/>
        <v>#VALUE!</v>
      </c>
      <c r="J155">
        <f t="shared" si="15"/>
        <v>3</v>
      </c>
      <c r="K155" t="e">
        <f t="shared" si="16"/>
        <v>#VALUE!</v>
      </c>
      <c r="L155" t="str">
        <f>A155</f>
        <v xml:space="preserve">  {</v>
      </c>
    </row>
    <row r="156" spans="1:12" x14ac:dyDescent="0.25">
      <c r="A156" t="s">
        <v>322</v>
      </c>
      <c r="H156">
        <f t="shared" si="13"/>
        <v>9</v>
      </c>
      <c r="I156" t="str">
        <f t="shared" si="14"/>
        <v xml:space="preserve">    guid:</v>
      </c>
      <c r="J156">
        <f t="shared" si="15"/>
        <v>47</v>
      </c>
      <c r="K156" t="str">
        <f t="shared" si="16"/>
        <v>534e5402-e20c-0ef2-6cbf-149c70d9ed40</v>
      </c>
      <c r="L156" t="str">
        <f t="shared" si="17"/>
        <v xml:space="preserve">    guid: '534e5402-e20c-0ef2-6cbf-149c70d9ed40',</v>
      </c>
    </row>
    <row r="157" spans="1:12" x14ac:dyDescent="0.25">
      <c r="A157" t="s">
        <v>323</v>
      </c>
      <c r="H157">
        <f t="shared" si="13"/>
        <v>9</v>
      </c>
      <c r="I157" t="str">
        <f t="shared" si="14"/>
        <v xml:space="preserve">    name:</v>
      </c>
      <c r="J157">
        <f t="shared" si="15"/>
        <v>18</v>
      </c>
      <c r="K157" t="str">
        <f t="shared" si="16"/>
        <v>ASKVOLL</v>
      </c>
      <c r="L157" t="str">
        <f t="shared" si="17"/>
        <v xml:space="preserve">    name: 'ASKVOLL',</v>
      </c>
    </row>
    <row r="158" spans="1:12" x14ac:dyDescent="0.25">
      <c r="A158" t="s">
        <v>288</v>
      </c>
      <c r="H158">
        <f t="shared" si="13"/>
        <v>13</v>
      </c>
      <c r="I158" t="str">
        <f t="shared" si="14"/>
        <v xml:space="preserve">    category:</v>
      </c>
      <c r="J158">
        <f t="shared" si="15"/>
        <v>19</v>
      </c>
      <c r="K158" t="str">
        <f t="shared" si="16"/>
        <v>Beds</v>
      </c>
      <c r="L158" t="str">
        <f t="shared" si="17"/>
        <v xml:space="preserve">    category: 'Beds',</v>
      </c>
    </row>
    <row r="159" spans="1:12" x14ac:dyDescent="0.25">
      <c r="A159" t="s">
        <v>324</v>
      </c>
      <c r="H159">
        <f t="shared" si="13"/>
        <v>10</v>
      </c>
      <c r="I159" t="str">
        <f t="shared" si="14"/>
        <v xml:space="preserve">    price:</v>
      </c>
      <c r="J159">
        <f t="shared" si="15"/>
        <v>15</v>
      </c>
      <c r="K159" t="str">
        <f t="shared" si="16"/>
        <v>445</v>
      </c>
      <c r="L159" t="str">
        <f t="shared" si="17"/>
        <v xml:space="preserve">    price: '445',</v>
      </c>
    </row>
    <row r="160" spans="1:12" x14ac:dyDescent="0.25">
      <c r="A160" t="s">
        <v>304</v>
      </c>
      <c r="H160">
        <f t="shared" si="13"/>
        <v>16</v>
      </c>
      <c r="I160" t="str">
        <f t="shared" si="14"/>
        <v xml:space="preserve">    description:</v>
      </c>
      <c r="J160">
        <f t="shared" si="15"/>
        <v>39</v>
      </c>
      <c r="K160" t="str">
        <f t="shared" si="16"/>
        <v>Bed frame, 140x200 cm</v>
      </c>
      <c r="L160" t="str">
        <f t="shared" si="17"/>
        <v xml:space="preserve">    description: 'Bed frame, 140x200 cm',</v>
      </c>
    </row>
    <row r="161" spans="1:12" x14ac:dyDescent="0.25">
      <c r="A161" t="s">
        <v>325</v>
      </c>
      <c r="H161">
        <f t="shared" si="13"/>
        <v>13</v>
      </c>
      <c r="I161" t="str">
        <f t="shared" si="14"/>
        <v xml:space="preserve">    designer:</v>
      </c>
      <c r="J161">
        <f t="shared" si="15"/>
        <v>48</v>
      </c>
      <c r="K161" t="str">
        <f t="shared" si="16"/>
        <v>IKEA of Sweden/K Hagberg/M Hagber</v>
      </c>
      <c r="L161" t="str">
        <f t="shared" si="17"/>
        <v xml:space="preserve">    designer: 'IKEA of Sweden/K Hagberg/M Hagber',</v>
      </c>
    </row>
    <row r="162" spans="1:12" x14ac:dyDescent="0.25">
      <c r="A162" t="s">
        <v>522</v>
      </c>
      <c r="H162" t="e">
        <f t="shared" si="13"/>
        <v>#VALUE!</v>
      </c>
      <c r="I162" t="e">
        <f t="shared" si="14"/>
        <v>#VALUE!</v>
      </c>
      <c r="J162">
        <f t="shared" si="15"/>
        <v>4</v>
      </c>
      <c r="K162" t="e">
        <f t="shared" si="16"/>
        <v>#VALUE!</v>
      </c>
      <c r="L162" t="str">
        <f>A162</f>
        <v xml:space="preserve">  },</v>
      </c>
    </row>
    <row r="163" spans="1:12" x14ac:dyDescent="0.25">
      <c r="A163" t="s">
        <v>238</v>
      </c>
      <c r="H163" t="e">
        <f t="shared" si="13"/>
        <v>#VALUE!</v>
      </c>
      <c r="I163" t="e">
        <f t="shared" si="14"/>
        <v>#VALUE!</v>
      </c>
      <c r="J163">
        <f t="shared" si="15"/>
        <v>3</v>
      </c>
      <c r="K163" t="e">
        <f t="shared" si="16"/>
        <v>#VALUE!</v>
      </c>
      <c r="L163" t="str">
        <f>A163</f>
        <v xml:space="preserve">  {</v>
      </c>
    </row>
    <row r="164" spans="1:12" x14ac:dyDescent="0.25">
      <c r="A164" t="s">
        <v>326</v>
      </c>
      <c r="H164">
        <f t="shared" si="13"/>
        <v>9</v>
      </c>
      <c r="I164" t="str">
        <f t="shared" si="14"/>
        <v xml:space="preserve">    guid:</v>
      </c>
      <c r="J164">
        <f t="shared" si="15"/>
        <v>47</v>
      </c>
      <c r="K164" t="str">
        <f t="shared" si="16"/>
        <v>98f75cab-7289-50e3-0121-b1daba2395b8</v>
      </c>
      <c r="L164" t="str">
        <f t="shared" si="17"/>
        <v xml:space="preserve">    guid: '98f75cab-7289-50e3-0121-b1daba2395b8',</v>
      </c>
    </row>
    <row r="165" spans="1:12" x14ac:dyDescent="0.25">
      <c r="A165" t="s">
        <v>287</v>
      </c>
      <c r="H165">
        <f t="shared" si="13"/>
        <v>9</v>
      </c>
      <c r="I165" t="str">
        <f t="shared" si="14"/>
        <v xml:space="preserve">    name:</v>
      </c>
      <c r="J165">
        <f t="shared" si="15"/>
        <v>18</v>
      </c>
      <c r="K165" t="str">
        <f t="shared" si="16"/>
        <v>BRIMNES</v>
      </c>
      <c r="L165" t="str">
        <f t="shared" si="17"/>
        <v xml:space="preserve">    name: 'BRIMNES',</v>
      </c>
    </row>
    <row r="166" spans="1:12" x14ac:dyDescent="0.25">
      <c r="A166" t="s">
        <v>288</v>
      </c>
      <c r="H166">
        <f t="shared" si="13"/>
        <v>13</v>
      </c>
      <c r="I166" t="str">
        <f t="shared" si="14"/>
        <v xml:space="preserve">    category:</v>
      </c>
      <c r="J166">
        <f t="shared" si="15"/>
        <v>19</v>
      </c>
      <c r="K166" t="str">
        <f t="shared" si="16"/>
        <v>Beds</v>
      </c>
      <c r="L166" t="str">
        <f t="shared" si="17"/>
        <v xml:space="preserve">    category: 'Beds',</v>
      </c>
    </row>
    <row r="167" spans="1:12" x14ac:dyDescent="0.25">
      <c r="A167" t="s">
        <v>289</v>
      </c>
      <c r="H167">
        <f t="shared" si="13"/>
        <v>10</v>
      </c>
      <c r="I167" t="str">
        <f t="shared" si="14"/>
        <v xml:space="preserve">    price:</v>
      </c>
      <c r="J167">
        <f t="shared" si="15"/>
        <v>15</v>
      </c>
      <c r="K167" t="str">
        <f t="shared" si="16"/>
        <v>795</v>
      </c>
      <c r="L167" t="str">
        <f t="shared" si="17"/>
        <v xml:space="preserve">    price: '795',</v>
      </c>
    </row>
    <row r="168" spans="1:12" x14ac:dyDescent="0.25">
      <c r="A168" t="s">
        <v>290</v>
      </c>
      <c r="H168">
        <f t="shared" si="13"/>
        <v>16</v>
      </c>
      <c r="I168" t="str">
        <f t="shared" si="14"/>
        <v xml:space="preserve">    description:</v>
      </c>
      <c r="J168">
        <f t="shared" si="15"/>
        <v>63</v>
      </c>
      <c r="K168" t="str">
        <f t="shared" si="16"/>
        <v>Bed frame w storage and headboard, 140x200 cm</v>
      </c>
      <c r="L168" t="str">
        <f t="shared" si="17"/>
        <v xml:space="preserve">    description: 'Bed frame w storage and headboard, 140x200 cm',</v>
      </c>
    </row>
    <row r="169" spans="1:12" x14ac:dyDescent="0.25">
      <c r="A169" t="s">
        <v>291</v>
      </c>
      <c r="H169">
        <f t="shared" si="13"/>
        <v>13</v>
      </c>
      <c r="I169" t="str">
        <f t="shared" si="14"/>
        <v xml:space="preserve">    designer:</v>
      </c>
      <c r="J169">
        <f t="shared" si="15"/>
        <v>48</v>
      </c>
      <c r="K169" t="str">
        <f t="shared" si="16"/>
        <v>K Hagberg/M Hagberg/IKEA of Swede</v>
      </c>
      <c r="L169" t="str">
        <f t="shared" si="17"/>
        <v xml:space="preserve">    designer: 'K Hagberg/M Hagberg/IKEA of Swede',</v>
      </c>
    </row>
    <row r="170" spans="1:12" x14ac:dyDescent="0.25">
      <c r="A170" t="s">
        <v>522</v>
      </c>
      <c r="H170" t="e">
        <f t="shared" si="13"/>
        <v>#VALUE!</v>
      </c>
      <c r="I170" t="e">
        <f t="shared" si="14"/>
        <v>#VALUE!</v>
      </c>
      <c r="J170">
        <f t="shared" si="15"/>
        <v>4</v>
      </c>
      <c r="K170" t="e">
        <f t="shared" si="16"/>
        <v>#VALUE!</v>
      </c>
      <c r="L170" t="str">
        <f>A170</f>
        <v xml:space="preserve">  },</v>
      </c>
    </row>
    <row r="171" spans="1:12" x14ac:dyDescent="0.25">
      <c r="A171" t="s">
        <v>238</v>
      </c>
      <c r="H171" t="e">
        <f t="shared" si="13"/>
        <v>#VALUE!</v>
      </c>
      <c r="I171" t="e">
        <f t="shared" si="14"/>
        <v>#VALUE!</v>
      </c>
      <c r="J171">
        <f t="shared" si="15"/>
        <v>3</v>
      </c>
      <c r="K171" t="e">
        <f t="shared" si="16"/>
        <v>#VALUE!</v>
      </c>
      <c r="L171" t="str">
        <f>A171</f>
        <v xml:space="preserve">  {</v>
      </c>
    </row>
    <row r="172" spans="1:12" x14ac:dyDescent="0.25">
      <c r="A172" t="s">
        <v>327</v>
      </c>
      <c r="H172">
        <f t="shared" si="13"/>
        <v>9</v>
      </c>
      <c r="I172" t="str">
        <f t="shared" si="14"/>
        <v xml:space="preserve">    guid:</v>
      </c>
      <c r="J172">
        <f t="shared" si="15"/>
        <v>47</v>
      </c>
      <c r="K172" t="str">
        <f t="shared" si="16"/>
        <v>4efd05fa-24d6-0142-722f-b12a15eec8d9</v>
      </c>
      <c r="L172" t="str">
        <f t="shared" si="17"/>
        <v xml:space="preserve">    guid: '4efd05fa-24d6-0142-722f-b12a15eec8d9',</v>
      </c>
    </row>
    <row r="173" spans="1:12" x14ac:dyDescent="0.25">
      <c r="A173" t="s">
        <v>293</v>
      </c>
      <c r="H173">
        <f t="shared" si="13"/>
        <v>9</v>
      </c>
      <c r="I173" t="str">
        <f t="shared" si="14"/>
        <v xml:space="preserve">    name:</v>
      </c>
      <c r="J173">
        <f t="shared" si="15"/>
        <v>17</v>
      </c>
      <c r="K173" t="str">
        <f t="shared" si="16"/>
        <v>NEIDEN</v>
      </c>
      <c r="L173" t="str">
        <f t="shared" si="17"/>
        <v xml:space="preserve">    name: 'NEIDEN',</v>
      </c>
    </row>
    <row r="174" spans="1:12" x14ac:dyDescent="0.25">
      <c r="A174" t="s">
        <v>288</v>
      </c>
      <c r="H174">
        <f t="shared" si="13"/>
        <v>13</v>
      </c>
      <c r="I174" t="str">
        <f t="shared" si="14"/>
        <v xml:space="preserve">    category:</v>
      </c>
      <c r="J174">
        <f t="shared" si="15"/>
        <v>19</v>
      </c>
      <c r="K174" t="str">
        <f t="shared" si="16"/>
        <v>Beds</v>
      </c>
      <c r="L174" t="str">
        <f t="shared" si="17"/>
        <v xml:space="preserve">    category: 'Beds',</v>
      </c>
    </row>
    <row r="175" spans="1:12" x14ac:dyDescent="0.25">
      <c r="A175" t="s">
        <v>294</v>
      </c>
      <c r="H175">
        <f t="shared" si="13"/>
        <v>10</v>
      </c>
      <c r="I175" t="str">
        <f t="shared" si="14"/>
        <v xml:space="preserve">    price:</v>
      </c>
      <c r="J175">
        <f t="shared" si="15"/>
        <v>14</v>
      </c>
      <c r="K175" t="str">
        <f t="shared" si="16"/>
        <v>99</v>
      </c>
      <c r="L175" t="str">
        <f t="shared" si="17"/>
        <v xml:space="preserve">    price: '99',</v>
      </c>
    </row>
    <row r="176" spans="1:12" x14ac:dyDescent="0.25">
      <c r="A176" t="s">
        <v>295</v>
      </c>
      <c r="H176">
        <f t="shared" si="13"/>
        <v>16</v>
      </c>
      <c r="I176" t="str">
        <f t="shared" si="14"/>
        <v xml:space="preserve">    description:</v>
      </c>
      <c r="J176">
        <f t="shared" si="15"/>
        <v>38</v>
      </c>
      <c r="K176" t="str">
        <f t="shared" si="16"/>
        <v>Bed frame, 90x200 cm</v>
      </c>
      <c r="L176" t="str">
        <f t="shared" si="17"/>
        <v xml:space="preserve">    description: 'Bed frame, 90x200 cm',</v>
      </c>
    </row>
    <row r="177" spans="1:12" x14ac:dyDescent="0.25">
      <c r="A177" t="s">
        <v>296</v>
      </c>
      <c r="H177">
        <f t="shared" si="13"/>
        <v>13</v>
      </c>
      <c r="I177" t="str">
        <f t="shared" si="14"/>
        <v xml:space="preserve">    designer:</v>
      </c>
      <c r="J177">
        <f t="shared" si="15"/>
        <v>26</v>
      </c>
      <c r="K177" t="str">
        <f t="shared" si="16"/>
        <v>Jon Karlsso</v>
      </c>
      <c r="L177" t="str">
        <f t="shared" si="17"/>
        <v xml:space="preserve">    designer: 'Jon Karlsso',</v>
      </c>
    </row>
    <row r="178" spans="1:12" x14ac:dyDescent="0.25">
      <c r="A178" t="s">
        <v>522</v>
      </c>
      <c r="H178" t="e">
        <f t="shared" si="13"/>
        <v>#VALUE!</v>
      </c>
      <c r="I178" t="e">
        <f t="shared" si="14"/>
        <v>#VALUE!</v>
      </c>
      <c r="J178">
        <f t="shared" si="15"/>
        <v>4</v>
      </c>
      <c r="K178" t="e">
        <f t="shared" si="16"/>
        <v>#VALUE!</v>
      </c>
      <c r="L178" t="str">
        <f>A178</f>
        <v xml:space="preserve">  },</v>
      </c>
    </row>
    <row r="179" spans="1:12" x14ac:dyDescent="0.25">
      <c r="A179" t="s">
        <v>238</v>
      </c>
      <c r="H179" t="e">
        <f t="shared" si="13"/>
        <v>#VALUE!</v>
      </c>
      <c r="I179" t="e">
        <f t="shared" si="14"/>
        <v>#VALUE!</v>
      </c>
      <c r="J179">
        <f t="shared" si="15"/>
        <v>3</v>
      </c>
      <c r="K179" t="e">
        <f t="shared" si="16"/>
        <v>#VALUE!</v>
      </c>
      <c r="L179" t="str">
        <f>A179</f>
        <v xml:space="preserve">  {</v>
      </c>
    </row>
    <row r="180" spans="1:12" x14ac:dyDescent="0.25">
      <c r="A180" t="s">
        <v>328</v>
      </c>
      <c r="H180">
        <f t="shared" si="13"/>
        <v>9</v>
      </c>
      <c r="I180" t="str">
        <f t="shared" si="14"/>
        <v xml:space="preserve">    guid:</v>
      </c>
      <c r="J180">
        <f t="shared" si="15"/>
        <v>47</v>
      </c>
      <c r="K180" t="str">
        <f t="shared" si="16"/>
        <v>662fe320-734a-dcc7-5909-1c83ce35e59a</v>
      </c>
      <c r="L180" t="str">
        <f t="shared" si="17"/>
        <v xml:space="preserve">    guid: '662fe320-734a-dcc7-5909-1c83ce35e59a',</v>
      </c>
    </row>
    <row r="181" spans="1:12" x14ac:dyDescent="0.25">
      <c r="A181" t="s">
        <v>298</v>
      </c>
      <c r="H181">
        <f t="shared" si="13"/>
        <v>9</v>
      </c>
      <c r="I181" t="str">
        <f t="shared" si="14"/>
        <v xml:space="preserve">    name:</v>
      </c>
      <c r="J181">
        <f t="shared" si="15"/>
        <v>18</v>
      </c>
      <c r="K181" t="str">
        <f t="shared" si="16"/>
        <v>LEIRVIK</v>
      </c>
      <c r="L181" t="str">
        <f t="shared" si="17"/>
        <v xml:space="preserve">    name: 'LEIRVIK',</v>
      </c>
    </row>
    <row r="182" spans="1:12" x14ac:dyDescent="0.25">
      <c r="A182" t="s">
        <v>288</v>
      </c>
      <c r="H182">
        <f t="shared" si="13"/>
        <v>13</v>
      </c>
      <c r="I182" t="str">
        <f t="shared" si="14"/>
        <v xml:space="preserve">    category:</v>
      </c>
      <c r="J182">
        <f t="shared" si="15"/>
        <v>19</v>
      </c>
      <c r="K182" t="str">
        <f t="shared" si="16"/>
        <v>Beds</v>
      </c>
      <c r="L182" t="str">
        <f t="shared" si="17"/>
        <v xml:space="preserve">    category: 'Beds',</v>
      </c>
    </row>
    <row r="183" spans="1:12" x14ac:dyDescent="0.25">
      <c r="A183" t="s">
        <v>299</v>
      </c>
      <c r="H183">
        <f t="shared" si="13"/>
        <v>10</v>
      </c>
      <c r="I183" t="str">
        <f t="shared" si="14"/>
        <v xml:space="preserve">    price:</v>
      </c>
      <c r="J183">
        <f t="shared" si="15"/>
        <v>16</v>
      </c>
      <c r="K183" t="str">
        <f t="shared" si="16"/>
        <v>1195</v>
      </c>
      <c r="L183" t="str">
        <f t="shared" si="17"/>
        <v xml:space="preserve">    price: '1195',</v>
      </c>
    </row>
    <row r="184" spans="1:12" x14ac:dyDescent="0.25">
      <c r="A184" t="s">
        <v>300</v>
      </c>
      <c r="H184">
        <f t="shared" si="13"/>
        <v>16</v>
      </c>
      <c r="I184" t="str">
        <f t="shared" si="14"/>
        <v xml:space="preserve">    description:</v>
      </c>
      <c r="J184">
        <f t="shared" si="15"/>
        <v>39</v>
      </c>
      <c r="K184" t="str">
        <f t="shared" si="16"/>
        <v>Bed frame, 180x200 cm</v>
      </c>
      <c r="L184" t="str">
        <f t="shared" si="17"/>
        <v xml:space="preserve">    description: 'Bed frame, 180x200 cm',</v>
      </c>
    </row>
    <row r="185" spans="1:12" x14ac:dyDescent="0.25">
      <c r="A185" t="s">
        <v>301</v>
      </c>
      <c r="H185">
        <f t="shared" si="13"/>
        <v>13</v>
      </c>
      <c r="I185" t="str">
        <f t="shared" si="14"/>
        <v xml:space="preserve">    designer:</v>
      </c>
      <c r="J185">
        <f t="shared" si="15"/>
        <v>41</v>
      </c>
      <c r="K185" t="str">
        <f t="shared" si="16"/>
        <v>IKEA of Sweden/Carina Beng</v>
      </c>
      <c r="L185" t="str">
        <f t="shared" si="17"/>
        <v xml:space="preserve">    designer: 'IKEA of Sweden/Carina Beng',</v>
      </c>
    </row>
    <row r="186" spans="1:12" x14ac:dyDescent="0.25">
      <c r="A186" t="s">
        <v>522</v>
      </c>
      <c r="H186" t="e">
        <f t="shared" si="13"/>
        <v>#VALUE!</v>
      </c>
      <c r="I186" t="e">
        <f t="shared" si="14"/>
        <v>#VALUE!</v>
      </c>
      <c r="J186">
        <f t="shared" si="15"/>
        <v>4</v>
      </c>
      <c r="K186" t="e">
        <f t="shared" si="16"/>
        <v>#VALUE!</v>
      </c>
      <c r="L186" t="str">
        <f>A186</f>
        <v xml:space="preserve">  },</v>
      </c>
    </row>
    <row r="187" spans="1:12" x14ac:dyDescent="0.25">
      <c r="A187" t="s">
        <v>238</v>
      </c>
      <c r="H187" t="e">
        <f t="shared" si="13"/>
        <v>#VALUE!</v>
      </c>
      <c r="I187" t="e">
        <f t="shared" si="14"/>
        <v>#VALUE!</v>
      </c>
      <c r="J187">
        <f t="shared" si="15"/>
        <v>3</v>
      </c>
      <c r="K187" t="e">
        <f t="shared" si="16"/>
        <v>#VALUE!</v>
      </c>
      <c r="L187" t="str">
        <f>A187</f>
        <v xml:space="preserve">  {</v>
      </c>
    </row>
    <row r="188" spans="1:12" x14ac:dyDescent="0.25">
      <c r="A188" t="s">
        <v>329</v>
      </c>
      <c r="H188">
        <f t="shared" si="13"/>
        <v>9</v>
      </c>
      <c r="I188" t="str">
        <f t="shared" si="14"/>
        <v xml:space="preserve">    guid:</v>
      </c>
      <c r="J188">
        <f t="shared" si="15"/>
        <v>47</v>
      </c>
      <c r="K188" t="str">
        <f t="shared" si="16"/>
        <v>aeaaab1a-ee7b-11fb-a76d-3d450a3061fc</v>
      </c>
      <c r="L188" t="str">
        <f t="shared" si="17"/>
        <v xml:space="preserve">    guid: 'aeaaab1a-ee7b-11fb-a76d-3d450a3061fc',</v>
      </c>
    </row>
    <row r="189" spans="1:12" x14ac:dyDescent="0.25">
      <c r="A189" t="s">
        <v>293</v>
      </c>
      <c r="H189">
        <f t="shared" si="13"/>
        <v>9</v>
      </c>
      <c r="I189" t="str">
        <f t="shared" si="14"/>
        <v xml:space="preserve">    name:</v>
      </c>
      <c r="J189">
        <f t="shared" si="15"/>
        <v>17</v>
      </c>
      <c r="K189" t="str">
        <f t="shared" si="16"/>
        <v>NEIDEN</v>
      </c>
      <c r="L189" t="str">
        <f t="shared" si="17"/>
        <v xml:space="preserve">    name: 'NEIDEN',</v>
      </c>
    </row>
    <row r="190" spans="1:12" x14ac:dyDescent="0.25">
      <c r="A190" t="s">
        <v>288</v>
      </c>
      <c r="H190">
        <f t="shared" si="13"/>
        <v>13</v>
      </c>
      <c r="I190" t="str">
        <f t="shared" si="14"/>
        <v xml:space="preserve">    category:</v>
      </c>
      <c r="J190">
        <f t="shared" si="15"/>
        <v>19</v>
      </c>
      <c r="K190" t="str">
        <f t="shared" si="16"/>
        <v>Beds</v>
      </c>
      <c r="L190" t="str">
        <f t="shared" si="17"/>
        <v xml:space="preserve">    category: 'Beds',</v>
      </c>
    </row>
    <row r="191" spans="1:12" x14ac:dyDescent="0.25">
      <c r="A191" t="s">
        <v>303</v>
      </c>
      <c r="H191">
        <f t="shared" si="13"/>
        <v>10</v>
      </c>
      <c r="I191" t="str">
        <f t="shared" si="14"/>
        <v xml:space="preserve">    price:</v>
      </c>
      <c r="J191">
        <f t="shared" si="15"/>
        <v>15</v>
      </c>
      <c r="K191" t="str">
        <f t="shared" si="16"/>
        <v>199</v>
      </c>
      <c r="L191" t="str">
        <f t="shared" si="17"/>
        <v xml:space="preserve">    price: '199',</v>
      </c>
    </row>
    <row r="192" spans="1:12" x14ac:dyDescent="0.25">
      <c r="A192" t="s">
        <v>304</v>
      </c>
      <c r="H192">
        <f t="shared" si="13"/>
        <v>16</v>
      </c>
      <c r="I192" t="str">
        <f t="shared" si="14"/>
        <v xml:space="preserve">    description:</v>
      </c>
      <c r="J192">
        <f t="shared" si="15"/>
        <v>39</v>
      </c>
      <c r="K192" t="str">
        <f t="shared" si="16"/>
        <v>Bed frame, 140x200 cm</v>
      </c>
      <c r="L192" t="str">
        <f t="shared" si="17"/>
        <v xml:space="preserve">    description: 'Bed frame, 140x200 cm',</v>
      </c>
    </row>
    <row r="193" spans="1:12" x14ac:dyDescent="0.25">
      <c r="A193" t="s">
        <v>296</v>
      </c>
      <c r="H193">
        <f t="shared" si="13"/>
        <v>13</v>
      </c>
      <c r="I193" t="str">
        <f t="shared" si="14"/>
        <v xml:space="preserve">    designer:</v>
      </c>
      <c r="J193">
        <f t="shared" si="15"/>
        <v>26</v>
      </c>
      <c r="K193" t="str">
        <f t="shared" si="16"/>
        <v>Jon Karlsso</v>
      </c>
      <c r="L193" t="str">
        <f t="shared" si="17"/>
        <v xml:space="preserve">    designer: 'Jon Karlsso',</v>
      </c>
    </row>
    <row r="194" spans="1:12" x14ac:dyDescent="0.25">
      <c r="A194" t="s">
        <v>522</v>
      </c>
      <c r="H194" t="e">
        <f t="shared" si="13"/>
        <v>#VALUE!</v>
      </c>
      <c r="I194" t="e">
        <f t="shared" si="14"/>
        <v>#VALUE!</v>
      </c>
      <c r="J194">
        <f t="shared" si="15"/>
        <v>4</v>
      </c>
      <c r="K194" t="e">
        <f t="shared" si="16"/>
        <v>#VALUE!</v>
      </c>
      <c r="L194" t="str">
        <f>A194</f>
        <v xml:space="preserve">  },</v>
      </c>
    </row>
    <row r="195" spans="1:12" x14ac:dyDescent="0.25">
      <c r="A195" t="s">
        <v>238</v>
      </c>
      <c r="H195" t="e">
        <f t="shared" si="13"/>
        <v>#VALUE!</v>
      </c>
      <c r="I195" t="e">
        <f t="shared" si="14"/>
        <v>#VALUE!</v>
      </c>
      <c r="J195">
        <f t="shared" si="15"/>
        <v>3</v>
      </c>
      <c r="K195" t="e">
        <f t="shared" si="16"/>
        <v>#VALUE!</v>
      </c>
      <c r="L195" t="str">
        <f>A195</f>
        <v xml:space="preserve">  {</v>
      </c>
    </row>
    <row r="196" spans="1:12" x14ac:dyDescent="0.25">
      <c r="A196" t="s">
        <v>330</v>
      </c>
      <c r="H196">
        <f t="shared" si="13"/>
        <v>9</v>
      </c>
      <c r="I196" t="str">
        <f t="shared" si="14"/>
        <v xml:space="preserve">    guid:</v>
      </c>
      <c r="J196">
        <f t="shared" si="15"/>
        <v>47</v>
      </c>
      <c r="K196" t="str">
        <f t="shared" si="16"/>
        <v>3dd3234b-a165-6c97-e7ce-6ebb2b8858f6</v>
      </c>
      <c r="L196" t="str">
        <f t="shared" si="17"/>
        <v xml:space="preserve">    guid: '3dd3234b-a165-6c97-e7ce-6ebb2b8858f6',</v>
      </c>
    </row>
    <row r="197" spans="1:12" x14ac:dyDescent="0.25">
      <c r="A197" t="s">
        <v>306</v>
      </c>
      <c r="H197">
        <f t="shared" ref="H197:H260" si="18">SEARCH(":",A197)</f>
        <v>9</v>
      </c>
      <c r="I197" t="str">
        <f t="shared" ref="I197:I260" si="19">LOWER(LEFT(A197,H197))</f>
        <v xml:space="preserve">    name:</v>
      </c>
      <c r="J197">
        <f t="shared" ref="J197:J260" si="20">LEN(A197)</f>
        <v>17</v>
      </c>
      <c r="K197" t="str">
        <f t="shared" ref="K197:K260" si="21">MID(A197,H197+2,J197-H197-2)</f>
        <v>HEMNES</v>
      </c>
      <c r="L197" t="str">
        <f t="shared" ref="L197:L260" si="22">_xlfn.CONCAT(I197," '",K197,"'",",")</f>
        <v xml:space="preserve">    name: 'HEMNES',</v>
      </c>
    </row>
    <row r="198" spans="1:12" x14ac:dyDescent="0.25">
      <c r="A198" t="s">
        <v>288</v>
      </c>
      <c r="H198">
        <f t="shared" si="18"/>
        <v>13</v>
      </c>
      <c r="I198" t="str">
        <f t="shared" si="19"/>
        <v xml:space="preserve">    category:</v>
      </c>
      <c r="J198">
        <f t="shared" si="20"/>
        <v>19</v>
      </c>
      <c r="K198" t="str">
        <f t="shared" si="21"/>
        <v>Beds</v>
      </c>
      <c r="L198" t="str">
        <f t="shared" si="22"/>
        <v xml:space="preserve">    category: 'Beds',</v>
      </c>
    </row>
    <row r="199" spans="1:12" x14ac:dyDescent="0.25">
      <c r="A199" t="s">
        <v>307</v>
      </c>
      <c r="H199">
        <f t="shared" si="18"/>
        <v>10</v>
      </c>
      <c r="I199" t="str">
        <f t="shared" si="19"/>
        <v xml:space="preserve">    price:</v>
      </c>
      <c r="J199">
        <f t="shared" si="20"/>
        <v>15</v>
      </c>
      <c r="K199" t="str">
        <f t="shared" si="21"/>
        <v>675</v>
      </c>
      <c r="L199" t="str">
        <f t="shared" si="22"/>
        <v xml:space="preserve">    price: '675',</v>
      </c>
    </row>
    <row r="200" spans="1:12" x14ac:dyDescent="0.25">
      <c r="A200" t="s">
        <v>304</v>
      </c>
      <c r="H200">
        <f t="shared" si="18"/>
        <v>16</v>
      </c>
      <c r="I200" t="str">
        <f t="shared" si="19"/>
        <v xml:space="preserve">    description:</v>
      </c>
      <c r="J200">
        <f t="shared" si="20"/>
        <v>39</v>
      </c>
      <c r="K200" t="str">
        <f t="shared" si="21"/>
        <v>Bed frame, 140x200 cm</v>
      </c>
      <c r="L200" t="str">
        <f t="shared" si="22"/>
        <v xml:space="preserve">    description: 'Bed frame, 140x200 cm',</v>
      </c>
    </row>
    <row r="201" spans="1:12" x14ac:dyDescent="0.25">
      <c r="A201" t="s">
        <v>301</v>
      </c>
      <c r="H201">
        <f t="shared" si="18"/>
        <v>13</v>
      </c>
      <c r="I201" t="str">
        <f t="shared" si="19"/>
        <v xml:space="preserve">    designer:</v>
      </c>
      <c r="J201">
        <f t="shared" si="20"/>
        <v>41</v>
      </c>
      <c r="K201" t="str">
        <f t="shared" si="21"/>
        <v>IKEA of Sweden/Carina Beng</v>
      </c>
      <c r="L201" t="str">
        <f t="shared" si="22"/>
        <v xml:space="preserve">    designer: 'IKEA of Sweden/Carina Beng',</v>
      </c>
    </row>
    <row r="202" spans="1:12" x14ac:dyDescent="0.25">
      <c r="A202" t="s">
        <v>522</v>
      </c>
      <c r="H202" t="e">
        <f t="shared" si="18"/>
        <v>#VALUE!</v>
      </c>
      <c r="I202" t="e">
        <f t="shared" si="19"/>
        <v>#VALUE!</v>
      </c>
      <c r="J202">
        <f t="shared" si="20"/>
        <v>4</v>
      </c>
      <c r="K202" t="e">
        <f t="shared" si="21"/>
        <v>#VALUE!</v>
      </c>
      <c r="L202" t="str">
        <f>A202</f>
        <v xml:space="preserve">  },</v>
      </c>
    </row>
    <row r="203" spans="1:12" x14ac:dyDescent="0.25">
      <c r="A203" t="s">
        <v>238</v>
      </c>
      <c r="H203" t="e">
        <f t="shared" si="18"/>
        <v>#VALUE!</v>
      </c>
      <c r="I203" t="e">
        <f t="shared" si="19"/>
        <v>#VALUE!</v>
      </c>
      <c r="J203">
        <f t="shared" si="20"/>
        <v>3</v>
      </c>
      <c r="K203" t="e">
        <f t="shared" si="21"/>
        <v>#VALUE!</v>
      </c>
      <c r="L203" t="str">
        <f>A203</f>
        <v xml:space="preserve">  {</v>
      </c>
    </row>
    <row r="204" spans="1:12" x14ac:dyDescent="0.25">
      <c r="A204" t="s">
        <v>331</v>
      </c>
      <c r="H204">
        <f t="shared" si="18"/>
        <v>9</v>
      </c>
      <c r="I204" t="str">
        <f t="shared" si="19"/>
        <v xml:space="preserve">    guid:</v>
      </c>
      <c r="J204">
        <f t="shared" si="20"/>
        <v>47</v>
      </c>
      <c r="K204" t="str">
        <f t="shared" si="21"/>
        <v>55b3a22e-bbdf-96d8-4f18-ab26263fd836</v>
      </c>
      <c r="L204" t="str">
        <f t="shared" si="22"/>
        <v xml:space="preserve">    guid: '55b3a22e-bbdf-96d8-4f18-ab26263fd836',</v>
      </c>
    </row>
    <row r="205" spans="1:12" x14ac:dyDescent="0.25">
      <c r="A205" t="s">
        <v>309</v>
      </c>
      <c r="H205">
        <f t="shared" si="18"/>
        <v>9</v>
      </c>
      <c r="I205" t="str">
        <f t="shared" si="19"/>
        <v xml:space="preserve">    name:</v>
      </c>
      <c r="J205">
        <f t="shared" si="20"/>
        <v>18</v>
      </c>
      <c r="K205" t="str">
        <f t="shared" si="21"/>
        <v>SLATTUM</v>
      </c>
      <c r="L205" t="str">
        <f t="shared" si="22"/>
        <v xml:space="preserve">    name: 'SLATTUM',</v>
      </c>
    </row>
    <row r="206" spans="1:12" x14ac:dyDescent="0.25">
      <c r="A206" t="s">
        <v>288</v>
      </c>
      <c r="H206">
        <f t="shared" si="18"/>
        <v>13</v>
      </c>
      <c r="I206" t="str">
        <f t="shared" si="19"/>
        <v xml:space="preserve">    category:</v>
      </c>
      <c r="J206">
        <f t="shared" si="20"/>
        <v>19</v>
      </c>
      <c r="K206" t="str">
        <f t="shared" si="21"/>
        <v>Beds</v>
      </c>
      <c r="L206" t="str">
        <f t="shared" si="22"/>
        <v xml:space="preserve">    category: 'Beds',</v>
      </c>
    </row>
    <row r="207" spans="1:12" x14ac:dyDescent="0.25">
      <c r="A207" t="s">
        <v>310</v>
      </c>
      <c r="H207">
        <f t="shared" si="18"/>
        <v>10</v>
      </c>
      <c r="I207" t="str">
        <f t="shared" si="19"/>
        <v xml:space="preserve">    price:</v>
      </c>
      <c r="J207">
        <f t="shared" si="20"/>
        <v>15</v>
      </c>
      <c r="K207" t="str">
        <f t="shared" si="21"/>
        <v>595</v>
      </c>
      <c r="L207" t="str">
        <f t="shared" si="22"/>
        <v xml:space="preserve">    price: '595',</v>
      </c>
    </row>
    <row r="208" spans="1:12" x14ac:dyDescent="0.25">
      <c r="A208" t="s">
        <v>311</v>
      </c>
      <c r="H208">
        <f t="shared" si="18"/>
        <v>16</v>
      </c>
      <c r="I208" t="str">
        <f t="shared" si="19"/>
        <v xml:space="preserve">    description:</v>
      </c>
      <c r="J208">
        <f t="shared" si="20"/>
        <v>51</v>
      </c>
      <c r="K208" t="str">
        <f t="shared" si="21"/>
        <v>Upholstered bed frame, 140x200 cm</v>
      </c>
      <c r="L208" t="str">
        <f t="shared" si="22"/>
        <v xml:space="preserve">    description: 'Upholstered bed frame, 140x200 cm',</v>
      </c>
    </row>
    <row r="209" spans="1:12" x14ac:dyDescent="0.25">
      <c r="A209" t="s">
        <v>312</v>
      </c>
      <c r="H209">
        <f t="shared" si="18"/>
        <v>13</v>
      </c>
      <c r="I209" t="str">
        <f t="shared" si="19"/>
        <v xml:space="preserve">    designer:</v>
      </c>
      <c r="J209">
        <f t="shared" si="20"/>
        <v>24</v>
      </c>
      <c r="K209" t="str">
        <f t="shared" si="21"/>
        <v>David Wah</v>
      </c>
      <c r="L209" t="str">
        <f t="shared" si="22"/>
        <v xml:space="preserve">    designer: 'David Wah',</v>
      </c>
    </row>
    <row r="210" spans="1:12" x14ac:dyDescent="0.25">
      <c r="A210" t="s">
        <v>522</v>
      </c>
      <c r="H210" t="e">
        <f t="shared" si="18"/>
        <v>#VALUE!</v>
      </c>
      <c r="I210" t="e">
        <f t="shared" si="19"/>
        <v>#VALUE!</v>
      </c>
      <c r="J210">
        <f t="shared" si="20"/>
        <v>4</v>
      </c>
      <c r="K210" t="e">
        <f t="shared" si="21"/>
        <v>#VALUE!</v>
      </c>
      <c r="L210" t="str">
        <f>A210</f>
        <v xml:space="preserve">  },</v>
      </c>
    </row>
    <row r="211" spans="1:12" x14ac:dyDescent="0.25">
      <c r="A211" t="s">
        <v>238</v>
      </c>
      <c r="H211" t="e">
        <f t="shared" si="18"/>
        <v>#VALUE!</v>
      </c>
      <c r="I211" t="e">
        <f t="shared" si="19"/>
        <v>#VALUE!</v>
      </c>
      <c r="J211">
        <f t="shared" si="20"/>
        <v>3</v>
      </c>
      <c r="K211" t="e">
        <f t="shared" si="21"/>
        <v>#VALUE!</v>
      </c>
      <c r="L211" t="str">
        <f>A211</f>
        <v xml:space="preserve">  {</v>
      </c>
    </row>
    <row r="212" spans="1:12" x14ac:dyDescent="0.25">
      <c r="A212" t="s">
        <v>332</v>
      </c>
      <c r="H212">
        <f t="shared" si="18"/>
        <v>9</v>
      </c>
      <c r="I212" t="str">
        <f t="shared" si="19"/>
        <v xml:space="preserve">    guid:</v>
      </c>
      <c r="J212">
        <f t="shared" si="20"/>
        <v>47</v>
      </c>
      <c r="K212" t="str">
        <f t="shared" si="21"/>
        <v>2a0a0f79-d58c-c17f-2d0a-9674bacfface</v>
      </c>
      <c r="L212" t="str">
        <f t="shared" si="22"/>
        <v xml:space="preserve">    guid: '2a0a0f79-d58c-c17f-2d0a-9674bacfface',</v>
      </c>
    </row>
    <row r="213" spans="1:12" x14ac:dyDescent="0.25">
      <c r="A213" t="s">
        <v>293</v>
      </c>
      <c r="H213">
        <f t="shared" si="18"/>
        <v>9</v>
      </c>
      <c r="I213" t="str">
        <f t="shared" si="19"/>
        <v xml:space="preserve">    name:</v>
      </c>
      <c r="J213">
        <f t="shared" si="20"/>
        <v>17</v>
      </c>
      <c r="K213" t="str">
        <f t="shared" si="21"/>
        <v>NEIDEN</v>
      </c>
      <c r="L213" t="str">
        <f t="shared" si="22"/>
        <v xml:space="preserve">    name: 'NEIDEN',</v>
      </c>
    </row>
    <row r="214" spans="1:12" x14ac:dyDescent="0.25">
      <c r="A214" t="s">
        <v>288</v>
      </c>
      <c r="H214">
        <f t="shared" si="18"/>
        <v>13</v>
      </c>
      <c r="I214" t="str">
        <f t="shared" si="19"/>
        <v xml:space="preserve">    category:</v>
      </c>
      <c r="J214">
        <f t="shared" si="20"/>
        <v>19</v>
      </c>
      <c r="K214" t="str">
        <f t="shared" si="21"/>
        <v>Beds</v>
      </c>
      <c r="L214" t="str">
        <f t="shared" si="22"/>
        <v xml:space="preserve">    category: 'Beds',</v>
      </c>
    </row>
    <row r="215" spans="1:12" x14ac:dyDescent="0.25">
      <c r="A215" t="s">
        <v>303</v>
      </c>
      <c r="H215">
        <f t="shared" si="18"/>
        <v>10</v>
      </c>
      <c r="I215" t="str">
        <f t="shared" si="19"/>
        <v xml:space="preserve">    price:</v>
      </c>
      <c r="J215">
        <f t="shared" si="20"/>
        <v>15</v>
      </c>
      <c r="K215" t="str">
        <f t="shared" si="21"/>
        <v>199</v>
      </c>
      <c r="L215" t="str">
        <f t="shared" si="22"/>
        <v xml:space="preserve">    price: '199',</v>
      </c>
    </row>
    <row r="216" spans="1:12" x14ac:dyDescent="0.25">
      <c r="A216" t="s">
        <v>295</v>
      </c>
      <c r="H216">
        <f t="shared" si="18"/>
        <v>16</v>
      </c>
      <c r="I216" t="str">
        <f t="shared" si="19"/>
        <v xml:space="preserve">    description:</v>
      </c>
      <c r="J216">
        <f t="shared" si="20"/>
        <v>38</v>
      </c>
      <c r="K216" t="str">
        <f t="shared" si="21"/>
        <v>Bed frame, 90x200 cm</v>
      </c>
      <c r="L216" t="str">
        <f t="shared" si="22"/>
        <v xml:space="preserve">    description: 'Bed frame, 90x200 cm',</v>
      </c>
    </row>
    <row r="217" spans="1:12" x14ac:dyDescent="0.25">
      <c r="A217" t="s">
        <v>314</v>
      </c>
      <c r="H217">
        <f t="shared" si="18"/>
        <v>13</v>
      </c>
      <c r="I217" t="str">
        <f t="shared" si="19"/>
        <v xml:space="preserve">    designer:</v>
      </c>
      <c r="J217">
        <f t="shared" si="20"/>
        <v>41</v>
      </c>
      <c r="K217" t="str">
        <f t="shared" si="21"/>
        <v>Jon Karlsson/IKEA of Swede</v>
      </c>
      <c r="L217" t="str">
        <f t="shared" si="22"/>
        <v xml:space="preserve">    designer: 'Jon Karlsson/IKEA of Swede',</v>
      </c>
    </row>
    <row r="218" spans="1:12" x14ac:dyDescent="0.25">
      <c r="A218" t="s">
        <v>522</v>
      </c>
      <c r="H218" t="e">
        <f t="shared" si="18"/>
        <v>#VALUE!</v>
      </c>
      <c r="I218" t="e">
        <f t="shared" si="19"/>
        <v>#VALUE!</v>
      </c>
      <c r="J218">
        <f t="shared" si="20"/>
        <v>4</v>
      </c>
      <c r="K218" t="e">
        <f t="shared" si="21"/>
        <v>#VALUE!</v>
      </c>
      <c r="L218" t="str">
        <f>A218</f>
        <v xml:space="preserve">  },</v>
      </c>
    </row>
    <row r="219" spans="1:12" x14ac:dyDescent="0.25">
      <c r="A219" t="s">
        <v>238</v>
      </c>
      <c r="H219" t="e">
        <f t="shared" si="18"/>
        <v>#VALUE!</v>
      </c>
      <c r="I219" t="e">
        <f t="shared" si="19"/>
        <v>#VALUE!</v>
      </c>
      <c r="J219">
        <f t="shared" si="20"/>
        <v>3</v>
      </c>
      <c r="K219" t="e">
        <f t="shared" si="21"/>
        <v>#VALUE!</v>
      </c>
      <c r="L219" t="str">
        <f>A219</f>
        <v xml:space="preserve">  {</v>
      </c>
    </row>
    <row r="220" spans="1:12" x14ac:dyDescent="0.25">
      <c r="A220" t="s">
        <v>333</v>
      </c>
      <c r="H220">
        <f t="shared" si="18"/>
        <v>9</v>
      </c>
      <c r="I220" t="str">
        <f t="shared" si="19"/>
        <v xml:space="preserve">    guid:</v>
      </c>
      <c r="J220">
        <f t="shared" si="20"/>
        <v>47</v>
      </c>
      <c r="K220" t="str">
        <f t="shared" si="21"/>
        <v>448fa9ea-c3b9-bc75-0d24-0948b18b6a54</v>
      </c>
      <c r="L220" t="str">
        <f t="shared" si="22"/>
        <v xml:space="preserve">    guid: '448fa9ea-c3b9-bc75-0d24-0948b18b6a54',</v>
      </c>
    </row>
    <row r="221" spans="1:12" x14ac:dyDescent="0.25">
      <c r="A221" t="s">
        <v>316</v>
      </c>
      <c r="H221">
        <f t="shared" si="18"/>
        <v>9</v>
      </c>
      <c r="I221" t="str">
        <f t="shared" si="19"/>
        <v xml:space="preserve">    name:</v>
      </c>
      <c r="J221">
        <f t="shared" si="20"/>
        <v>18</v>
      </c>
      <c r="K221" t="str">
        <f t="shared" si="21"/>
        <v>SAGSTUA</v>
      </c>
      <c r="L221" t="str">
        <f t="shared" si="22"/>
        <v xml:space="preserve">    name: 'SAGSTUA',</v>
      </c>
    </row>
    <row r="222" spans="1:12" x14ac:dyDescent="0.25">
      <c r="A222" t="s">
        <v>288</v>
      </c>
      <c r="H222">
        <f t="shared" si="18"/>
        <v>13</v>
      </c>
      <c r="I222" t="str">
        <f t="shared" si="19"/>
        <v xml:space="preserve">    category:</v>
      </c>
      <c r="J222">
        <f t="shared" si="20"/>
        <v>19</v>
      </c>
      <c r="K222" t="str">
        <f t="shared" si="21"/>
        <v>Beds</v>
      </c>
      <c r="L222" t="str">
        <f t="shared" si="22"/>
        <v xml:space="preserve">    category: 'Beds',</v>
      </c>
    </row>
    <row r="223" spans="1:12" x14ac:dyDescent="0.25">
      <c r="A223" t="s">
        <v>317</v>
      </c>
      <c r="H223">
        <f t="shared" si="18"/>
        <v>10</v>
      </c>
      <c r="I223" t="str">
        <f t="shared" si="19"/>
        <v xml:space="preserve">    price:</v>
      </c>
      <c r="J223">
        <f t="shared" si="20"/>
        <v>15</v>
      </c>
      <c r="K223" t="str">
        <f t="shared" si="21"/>
        <v>545</v>
      </c>
      <c r="L223" t="str">
        <f t="shared" si="22"/>
        <v xml:space="preserve">    price: '545',</v>
      </c>
    </row>
    <row r="224" spans="1:12" x14ac:dyDescent="0.25">
      <c r="A224" t="s">
        <v>304</v>
      </c>
      <c r="H224">
        <f t="shared" si="18"/>
        <v>16</v>
      </c>
      <c r="I224" t="str">
        <f t="shared" si="19"/>
        <v xml:space="preserve">    description:</v>
      </c>
      <c r="J224">
        <f t="shared" si="20"/>
        <v>39</v>
      </c>
      <c r="K224" t="str">
        <f t="shared" si="21"/>
        <v>Bed frame, 140x200 cm</v>
      </c>
      <c r="L224" t="str">
        <f t="shared" si="22"/>
        <v xml:space="preserve">    description: 'Bed frame, 140x200 cm',</v>
      </c>
    </row>
    <row r="225" spans="1:12" x14ac:dyDescent="0.25">
      <c r="A225" t="s">
        <v>318</v>
      </c>
      <c r="H225">
        <f t="shared" si="18"/>
        <v>13</v>
      </c>
      <c r="I225" t="str">
        <f t="shared" si="19"/>
        <v xml:space="preserve">    designer:</v>
      </c>
      <c r="J225">
        <f t="shared" si="20"/>
        <v>43</v>
      </c>
      <c r="K225" t="str">
        <f t="shared" si="21"/>
        <v>IKEA of Sweden/Paulin Machad</v>
      </c>
      <c r="L225" t="str">
        <f t="shared" si="22"/>
        <v xml:space="preserve">    designer: 'IKEA of Sweden/Paulin Machad',</v>
      </c>
    </row>
    <row r="226" spans="1:12" x14ac:dyDescent="0.25">
      <c r="A226" t="s">
        <v>522</v>
      </c>
      <c r="H226" t="e">
        <f t="shared" si="18"/>
        <v>#VALUE!</v>
      </c>
      <c r="I226" t="e">
        <f t="shared" si="19"/>
        <v>#VALUE!</v>
      </c>
      <c r="J226">
        <f t="shared" si="20"/>
        <v>4</v>
      </c>
      <c r="K226" t="e">
        <f t="shared" si="21"/>
        <v>#VALUE!</v>
      </c>
      <c r="L226" t="str">
        <f>A226</f>
        <v xml:space="preserve">  },</v>
      </c>
    </row>
    <row r="227" spans="1:12" x14ac:dyDescent="0.25">
      <c r="A227" t="s">
        <v>238</v>
      </c>
      <c r="H227" t="e">
        <f t="shared" si="18"/>
        <v>#VALUE!</v>
      </c>
      <c r="I227" t="e">
        <f t="shared" si="19"/>
        <v>#VALUE!</v>
      </c>
      <c r="J227">
        <f t="shared" si="20"/>
        <v>3</v>
      </c>
      <c r="K227" t="e">
        <f t="shared" si="21"/>
        <v>#VALUE!</v>
      </c>
      <c r="L227" t="str">
        <f>A227</f>
        <v xml:space="preserve">  {</v>
      </c>
    </row>
    <row r="228" spans="1:12" x14ac:dyDescent="0.25">
      <c r="A228" t="s">
        <v>334</v>
      </c>
      <c r="H228">
        <f t="shared" si="18"/>
        <v>9</v>
      </c>
      <c r="I228" t="str">
        <f t="shared" si="19"/>
        <v xml:space="preserve">    guid:</v>
      </c>
      <c r="J228">
        <f t="shared" si="20"/>
        <v>47</v>
      </c>
      <c r="K228" t="str">
        <f t="shared" si="21"/>
        <v>8578cafd-d7af-95da-927a-8c5af2179671</v>
      </c>
      <c r="L228" t="str">
        <f t="shared" si="22"/>
        <v xml:space="preserve">    guid: '8578cafd-d7af-95da-927a-8c5af2179671',</v>
      </c>
    </row>
    <row r="229" spans="1:12" x14ac:dyDescent="0.25">
      <c r="A229" t="s">
        <v>287</v>
      </c>
      <c r="H229">
        <f t="shared" si="18"/>
        <v>9</v>
      </c>
      <c r="I229" t="str">
        <f t="shared" si="19"/>
        <v xml:space="preserve">    name:</v>
      </c>
      <c r="J229">
        <f t="shared" si="20"/>
        <v>18</v>
      </c>
      <c r="K229" t="str">
        <f t="shared" si="21"/>
        <v>BRIMNES</v>
      </c>
      <c r="L229" t="str">
        <f t="shared" si="22"/>
        <v xml:space="preserve">    name: 'BRIMNES',</v>
      </c>
    </row>
    <row r="230" spans="1:12" x14ac:dyDescent="0.25">
      <c r="A230" t="s">
        <v>288</v>
      </c>
      <c r="H230">
        <f t="shared" si="18"/>
        <v>13</v>
      </c>
      <c r="I230" t="str">
        <f t="shared" si="19"/>
        <v xml:space="preserve">    category:</v>
      </c>
      <c r="J230">
        <f t="shared" si="20"/>
        <v>19</v>
      </c>
      <c r="K230" t="str">
        <f t="shared" si="21"/>
        <v>Beds</v>
      </c>
      <c r="L230" t="str">
        <f t="shared" si="22"/>
        <v xml:space="preserve">    category: 'Beds',</v>
      </c>
    </row>
    <row r="231" spans="1:12" x14ac:dyDescent="0.25">
      <c r="A231" t="s">
        <v>320</v>
      </c>
      <c r="H231">
        <f t="shared" si="18"/>
        <v>10</v>
      </c>
      <c r="I231" t="str">
        <f t="shared" si="19"/>
        <v xml:space="preserve">    price:</v>
      </c>
      <c r="J231">
        <f t="shared" si="20"/>
        <v>15</v>
      </c>
      <c r="K231" t="str">
        <f t="shared" si="21"/>
        <v>575</v>
      </c>
      <c r="L231" t="str">
        <f t="shared" si="22"/>
        <v xml:space="preserve">    price: '575',</v>
      </c>
    </row>
    <row r="232" spans="1:12" x14ac:dyDescent="0.25">
      <c r="A232" t="s">
        <v>321</v>
      </c>
      <c r="H232">
        <f t="shared" si="18"/>
        <v>16</v>
      </c>
      <c r="I232" t="str">
        <f t="shared" si="19"/>
        <v xml:space="preserve">    description:</v>
      </c>
      <c r="J232">
        <f t="shared" si="20"/>
        <v>51</v>
      </c>
      <c r="K232" t="str">
        <f t="shared" si="21"/>
        <v>Bed frame with storage, 90x200 cm</v>
      </c>
      <c r="L232" t="str">
        <f t="shared" si="22"/>
        <v xml:space="preserve">    description: 'Bed frame with storage, 90x200 cm',</v>
      </c>
    </row>
    <row r="233" spans="1:12" x14ac:dyDescent="0.25">
      <c r="A233" t="s">
        <v>275</v>
      </c>
      <c r="H233">
        <f t="shared" si="18"/>
        <v>13</v>
      </c>
      <c r="I233" t="str">
        <f t="shared" si="19"/>
        <v xml:space="preserve">    designer:</v>
      </c>
      <c r="J233">
        <f t="shared" si="20"/>
        <v>33</v>
      </c>
      <c r="K233" t="str">
        <f t="shared" si="21"/>
        <v>K Hagberg/M Hagber</v>
      </c>
      <c r="L233" t="str">
        <f t="shared" si="22"/>
        <v xml:space="preserve">    designer: 'K Hagberg/M Hagber',</v>
      </c>
    </row>
    <row r="234" spans="1:12" x14ac:dyDescent="0.25">
      <c r="A234" t="s">
        <v>522</v>
      </c>
      <c r="H234" t="e">
        <f t="shared" si="18"/>
        <v>#VALUE!</v>
      </c>
      <c r="I234" t="e">
        <f t="shared" si="19"/>
        <v>#VALUE!</v>
      </c>
      <c r="J234">
        <f t="shared" si="20"/>
        <v>4</v>
      </c>
      <c r="K234" t="e">
        <f t="shared" si="21"/>
        <v>#VALUE!</v>
      </c>
      <c r="L234" t="str">
        <f>A234</f>
        <v xml:space="preserve">  },</v>
      </c>
    </row>
    <row r="235" spans="1:12" x14ac:dyDescent="0.25">
      <c r="A235" t="s">
        <v>238</v>
      </c>
      <c r="H235" t="e">
        <f t="shared" si="18"/>
        <v>#VALUE!</v>
      </c>
      <c r="I235" t="e">
        <f t="shared" si="19"/>
        <v>#VALUE!</v>
      </c>
      <c r="J235">
        <f t="shared" si="20"/>
        <v>3</v>
      </c>
      <c r="K235" t="e">
        <f t="shared" si="21"/>
        <v>#VALUE!</v>
      </c>
      <c r="L235" t="str">
        <f>A235</f>
        <v xml:space="preserve">  {</v>
      </c>
    </row>
    <row r="236" spans="1:12" x14ac:dyDescent="0.25">
      <c r="A236" t="s">
        <v>335</v>
      </c>
      <c r="H236">
        <f t="shared" si="18"/>
        <v>9</v>
      </c>
      <c r="I236" t="str">
        <f t="shared" si="19"/>
        <v xml:space="preserve">    guid:</v>
      </c>
      <c r="J236">
        <f t="shared" si="20"/>
        <v>47</v>
      </c>
      <c r="K236" t="str">
        <f t="shared" si="21"/>
        <v>9c076b30-5ecc-3c5b-2293-4f78cdbeaf21</v>
      </c>
      <c r="L236" t="str">
        <f t="shared" si="22"/>
        <v xml:space="preserve">    guid: '9c076b30-5ecc-3c5b-2293-4f78cdbeaf21',</v>
      </c>
    </row>
    <row r="237" spans="1:12" x14ac:dyDescent="0.25">
      <c r="A237" t="s">
        <v>323</v>
      </c>
      <c r="H237">
        <f t="shared" si="18"/>
        <v>9</v>
      </c>
      <c r="I237" t="str">
        <f t="shared" si="19"/>
        <v xml:space="preserve">    name:</v>
      </c>
      <c r="J237">
        <f t="shared" si="20"/>
        <v>18</v>
      </c>
      <c r="K237" t="str">
        <f t="shared" si="21"/>
        <v>ASKVOLL</v>
      </c>
      <c r="L237" t="str">
        <f t="shared" si="22"/>
        <v xml:space="preserve">    name: 'ASKVOLL',</v>
      </c>
    </row>
    <row r="238" spans="1:12" x14ac:dyDescent="0.25">
      <c r="A238" t="s">
        <v>288</v>
      </c>
      <c r="H238">
        <f t="shared" si="18"/>
        <v>13</v>
      </c>
      <c r="I238" t="str">
        <f t="shared" si="19"/>
        <v xml:space="preserve">    category:</v>
      </c>
      <c r="J238">
        <f t="shared" si="20"/>
        <v>19</v>
      </c>
      <c r="K238" t="str">
        <f t="shared" si="21"/>
        <v>Beds</v>
      </c>
      <c r="L238" t="str">
        <f t="shared" si="22"/>
        <v xml:space="preserve">    category: 'Beds',</v>
      </c>
    </row>
    <row r="239" spans="1:12" x14ac:dyDescent="0.25">
      <c r="A239" t="s">
        <v>324</v>
      </c>
      <c r="H239">
        <f t="shared" si="18"/>
        <v>10</v>
      </c>
      <c r="I239" t="str">
        <f t="shared" si="19"/>
        <v xml:space="preserve">    price:</v>
      </c>
      <c r="J239">
        <f t="shared" si="20"/>
        <v>15</v>
      </c>
      <c r="K239" t="str">
        <f t="shared" si="21"/>
        <v>445</v>
      </c>
      <c r="L239" t="str">
        <f t="shared" si="22"/>
        <v xml:space="preserve">    price: '445',</v>
      </c>
    </row>
    <row r="240" spans="1:12" x14ac:dyDescent="0.25">
      <c r="A240" t="s">
        <v>304</v>
      </c>
      <c r="H240">
        <f t="shared" si="18"/>
        <v>16</v>
      </c>
      <c r="I240" t="str">
        <f t="shared" si="19"/>
        <v xml:space="preserve">    description:</v>
      </c>
      <c r="J240">
        <f t="shared" si="20"/>
        <v>39</v>
      </c>
      <c r="K240" t="str">
        <f t="shared" si="21"/>
        <v>Bed frame, 140x200 cm</v>
      </c>
      <c r="L240" t="str">
        <f t="shared" si="22"/>
        <v xml:space="preserve">    description: 'Bed frame, 140x200 cm',</v>
      </c>
    </row>
    <row r="241" spans="1:12" x14ac:dyDescent="0.25">
      <c r="A241" t="s">
        <v>325</v>
      </c>
      <c r="H241">
        <f t="shared" si="18"/>
        <v>13</v>
      </c>
      <c r="I241" t="str">
        <f t="shared" si="19"/>
        <v xml:space="preserve">    designer:</v>
      </c>
      <c r="J241">
        <f t="shared" si="20"/>
        <v>48</v>
      </c>
      <c r="K241" t="str">
        <f t="shared" si="21"/>
        <v>IKEA of Sweden/K Hagberg/M Hagber</v>
      </c>
      <c r="L241" t="str">
        <f t="shared" si="22"/>
        <v xml:space="preserve">    designer: 'IKEA of Sweden/K Hagberg/M Hagber',</v>
      </c>
    </row>
    <row r="242" spans="1:12" x14ac:dyDescent="0.25">
      <c r="A242" t="s">
        <v>522</v>
      </c>
      <c r="H242" t="e">
        <f t="shared" si="18"/>
        <v>#VALUE!</v>
      </c>
      <c r="I242" t="e">
        <f t="shared" si="19"/>
        <v>#VALUE!</v>
      </c>
      <c r="J242">
        <f t="shared" si="20"/>
        <v>4</v>
      </c>
      <c r="K242" t="e">
        <f t="shared" si="21"/>
        <v>#VALUE!</v>
      </c>
      <c r="L242" t="str">
        <f>A242</f>
        <v xml:space="preserve">  },</v>
      </c>
    </row>
    <row r="243" spans="1:12" x14ac:dyDescent="0.25">
      <c r="A243" t="s">
        <v>238</v>
      </c>
      <c r="H243" t="e">
        <f t="shared" si="18"/>
        <v>#VALUE!</v>
      </c>
      <c r="I243" t="e">
        <f t="shared" si="19"/>
        <v>#VALUE!</v>
      </c>
      <c r="J243">
        <f t="shared" si="20"/>
        <v>3</v>
      </c>
      <c r="K243" t="e">
        <f t="shared" si="21"/>
        <v>#VALUE!</v>
      </c>
      <c r="L243" t="str">
        <f>A243</f>
        <v xml:space="preserve">  {</v>
      </c>
    </row>
    <row r="244" spans="1:12" x14ac:dyDescent="0.25">
      <c r="A244" t="s">
        <v>336</v>
      </c>
      <c r="H244">
        <f t="shared" si="18"/>
        <v>9</v>
      </c>
      <c r="I244" t="str">
        <f t="shared" si="19"/>
        <v xml:space="preserve">    guid:</v>
      </c>
      <c r="J244">
        <f t="shared" si="20"/>
        <v>47</v>
      </c>
      <c r="K244" t="str">
        <f t="shared" si="21"/>
        <v>ac74c906-571e-85e3-cd0b-c1c6ca444318</v>
      </c>
      <c r="L244" t="str">
        <f t="shared" si="22"/>
        <v xml:space="preserve">    guid: 'ac74c906-571e-85e3-cd0b-c1c6ca444318',</v>
      </c>
    </row>
    <row r="245" spans="1:12" x14ac:dyDescent="0.25">
      <c r="A245" t="s">
        <v>337</v>
      </c>
      <c r="H245">
        <f t="shared" si="18"/>
        <v>9</v>
      </c>
      <c r="I245" t="str">
        <f t="shared" si="19"/>
        <v xml:space="preserve">    name:</v>
      </c>
      <c r="J245">
        <f t="shared" si="20"/>
        <v>19</v>
      </c>
      <c r="K245" t="str">
        <f t="shared" si="21"/>
        <v>GLASSVIK</v>
      </c>
      <c r="L245" t="str">
        <f t="shared" si="22"/>
        <v xml:space="preserve">    name: 'GLASSVIK',</v>
      </c>
    </row>
    <row r="246" spans="1:12" x14ac:dyDescent="0.25">
      <c r="A246" t="s">
        <v>338</v>
      </c>
      <c r="H246">
        <f t="shared" si="18"/>
        <v>13</v>
      </c>
      <c r="I246" t="str">
        <f t="shared" si="19"/>
        <v xml:space="preserve">    category:</v>
      </c>
      <c r="J246">
        <f t="shared" si="20"/>
        <v>35</v>
      </c>
      <c r="K246" t="str">
        <f t="shared" si="21"/>
        <v>Cabinets &amp; cupboards</v>
      </c>
      <c r="L246" t="str">
        <f t="shared" si="22"/>
        <v xml:space="preserve">    category: 'Cabinets &amp; cupboards',</v>
      </c>
    </row>
    <row r="247" spans="1:12" x14ac:dyDescent="0.25">
      <c r="A247" t="s">
        <v>339</v>
      </c>
      <c r="H247">
        <f t="shared" si="18"/>
        <v>10</v>
      </c>
      <c r="I247" t="str">
        <f t="shared" si="19"/>
        <v xml:space="preserve">    price:</v>
      </c>
      <c r="J247">
        <f t="shared" si="20"/>
        <v>15</v>
      </c>
      <c r="K247" t="str">
        <f t="shared" si="21"/>
        <v>175</v>
      </c>
      <c r="L247" t="str">
        <f t="shared" si="22"/>
        <v xml:space="preserve">    price: '175',</v>
      </c>
    </row>
    <row r="248" spans="1:12" x14ac:dyDescent="0.25">
      <c r="A248" t="s">
        <v>340</v>
      </c>
      <c r="H248">
        <f t="shared" si="18"/>
        <v>16</v>
      </c>
      <c r="I248" t="str">
        <f t="shared" si="19"/>
        <v xml:space="preserve">    description:</v>
      </c>
      <c r="J248">
        <f t="shared" si="20"/>
        <v>38</v>
      </c>
      <c r="K248" t="str">
        <f t="shared" si="21"/>
        <v>Glass door, 60x38 cm</v>
      </c>
      <c r="L248" t="str">
        <f t="shared" si="22"/>
        <v xml:space="preserve">    description: 'Glass door, 60x38 cm',</v>
      </c>
    </row>
    <row r="249" spans="1:12" x14ac:dyDescent="0.25">
      <c r="A249" t="s">
        <v>341</v>
      </c>
      <c r="H249">
        <f t="shared" si="18"/>
        <v>13</v>
      </c>
      <c r="I249" t="str">
        <f t="shared" si="19"/>
        <v xml:space="preserve">    designer:</v>
      </c>
      <c r="J249">
        <f t="shared" si="20"/>
        <v>28</v>
      </c>
      <c r="K249" t="str">
        <f t="shared" si="21"/>
        <v>IKEA of Swede</v>
      </c>
      <c r="L249" t="str">
        <f t="shared" si="22"/>
        <v xml:space="preserve">    designer: 'IKEA of Swede',</v>
      </c>
    </row>
    <row r="250" spans="1:12" x14ac:dyDescent="0.25">
      <c r="A250" t="s">
        <v>522</v>
      </c>
      <c r="H250" t="e">
        <f t="shared" si="18"/>
        <v>#VALUE!</v>
      </c>
      <c r="I250" t="e">
        <f t="shared" si="19"/>
        <v>#VALUE!</v>
      </c>
      <c r="J250">
        <f t="shared" si="20"/>
        <v>4</v>
      </c>
      <c r="K250" t="e">
        <f t="shared" si="21"/>
        <v>#VALUE!</v>
      </c>
      <c r="L250" t="str">
        <f>A250</f>
        <v xml:space="preserve">  },</v>
      </c>
    </row>
    <row r="251" spans="1:12" x14ac:dyDescent="0.25">
      <c r="A251" t="s">
        <v>238</v>
      </c>
      <c r="H251" t="e">
        <f t="shared" si="18"/>
        <v>#VALUE!</v>
      </c>
      <c r="I251" t="e">
        <f t="shared" si="19"/>
        <v>#VALUE!</v>
      </c>
      <c r="J251">
        <f t="shared" si="20"/>
        <v>3</v>
      </c>
      <c r="K251" t="e">
        <f t="shared" si="21"/>
        <v>#VALUE!</v>
      </c>
      <c r="L251" t="str">
        <f>A251</f>
        <v xml:space="preserve">  {</v>
      </c>
    </row>
    <row r="252" spans="1:12" x14ac:dyDescent="0.25">
      <c r="A252" t="s">
        <v>342</v>
      </c>
      <c r="H252">
        <f t="shared" si="18"/>
        <v>9</v>
      </c>
      <c r="I252" t="str">
        <f t="shared" si="19"/>
        <v xml:space="preserve">    guid:</v>
      </c>
      <c r="J252">
        <f t="shared" si="20"/>
        <v>47</v>
      </c>
      <c r="K252" t="str">
        <f t="shared" si="21"/>
        <v>b1b51428-6873-1892-950a-2e56a731c55c</v>
      </c>
      <c r="L252" t="str">
        <f t="shared" si="22"/>
        <v xml:space="preserve">    guid: 'b1b51428-6873-1892-950a-2e56a731c55c',</v>
      </c>
    </row>
    <row r="253" spans="1:12" x14ac:dyDescent="0.25">
      <c r="A253" t="s">
        <v>343</v>
      </c>
      <c r="H253">
        <f t="shared" si="18"/>
        <v>9</v>
      </c>
      <c r="I253" t="str">
        <f t="shared" si="19"/>
        <v xml:space="preserve">    name:</v>
      </c>
      <c r="J253">
        <f t="shared" si="20"/>
        <v>17</v>
      </c>
      <c r="K253" t="str">
        <f t="shared" si="21"/>
        <v>KALLAX</v>
      </c>
      <c r="L253" t="str">
        <f t="shared" si="22"/>
        <v xml:space="preserve">    name: 'KALLAX',</v>
      </c>
    </row>
    <row r="254" spans="1:12" x14ac:dyDescent="0.25">
      <c r="A254" t="s">
        <v>338</v>
      </c>
      <c r="H254">
        <f t="shared" si="18"/>
        <v>13</v>
      </c>
      <c r="I254" t="str">
        <f t="shared" si="19"/>
        <v xml:space="preserve">    category:</v>
      </c>
      <c r="J254">
        <f t="shared" si="20"/>
        <v>35</v>
      </c>
      <c r="K254" t="str">
        <f t="shared" si="21"/>
        <v>Cabinets &amp; cupboards</v>
      </c>
      <c r="L254" t="str">
        <f t="shared" si="22"/>
        <v xml:space="preserve">    category: 'Cabinets &amp; cupboards',</v>
      </c>
    </row>
    <row r="255" spans="1:12" x14ac:dyDescent="0.25">
      <c r="A255" t="s">
        <v>344</v>
      </c>
      <c r="H255">
        <f t="shared" si="18"/>
        <v>10</v>
      </c>
      <c r="I255" t="str">
        <f t="shared" si="19"/>
        <v xml:space="preserve">    price:</v>
      </c>
      <c r="J255">
        <f t="shared" si="20"/>
        <v>15</v>
      </c>
      <c r="K255" t="str">
        <f t="shared" si="21"/>
        <v>250</v>
      </c>
      <c r="L255" t="str">
        <f t="shared" si="22"/>
        <v xml:space="preserve">    price: '250',</v>
      </c>
    </row>
    <row r="256" spans="1:12" x14ac:dyDescent="0.25">
      <c r="A256" t="s">
        <v>345</v>
      </c>
      <c r="H256">
        <f t="shared" si="18"/>
        <v>16</v>
      </c>
      <c r="I256" t="str">
        <f t="shared" si="19"/>
        <v xml:space="preserve">    description:</v>
      </c>
      <c r="J256">
        <f t="shared" si="20"/>
        <v>42</v>
      </c>
      <c r="K256" t="str">
        <f t="shared" si="21"/>
        <v>Shelving unit, 77x147 cm</v>
      </c>
      <c r="L256" t="str">
        <f t="shared" si="22"/>
        <v xml:space="preserve">    description: 'Shelving unit, 77x147 cm',</v>
      </c>
    </row>
    <row r="257" spans="1:12" x14ac:dyDescent="0.25">
      <c r="A257" t="s">
        <v>346</v>
      </c>
      <c r="H257">
        <f t="shared" si="18"/>
        <v>13</v>
      </c>
      <c r="I257" t="str">
        <f t="shared" si="19"/>
        <v xml:space="preserve">    designer:</v>
      </c>
      <c r="J257">
        <f t="shared" si="20"/>
        <v>28</v>
      </c>
      <c r="K257" t="str">
        <f t="shared" si="21"/>
        <v>Tord Bjarklun</v>
      </c>
      <c r="L257" t="str">
        <f t="shared" si="22"/>
        <v xml:space="preserve">    designer: 'Tord Bjarklun',</v>
      </c>
    </row>
    <row r="258" spans="1:12" x14ac:dyDescent="0.25">
      <c r="A258" t="s">
        <v>522</v>
      </c>
      <c r="H258" t="e">
        <f t="shared" si="18"/>
        <v>#VALUE!</v>
      </c>
      <c r="I258" t="e">
        <f t="shared" si="19"/>
        <v>#VALUE!</v>
      </c>
      <c r="J258">
        <f t="shared" si="20"/>
        <v>4</v>
      </c>
      <c r="K258" t="e">
        <f t="shared" si="21"/>
        <v>#VALUE!</v>
      </c>
      <c r="L258" t="str">
        <f>A258</f>
        <v xml:space="preserve">  },</v>
      </c>
    </row>
    <row r="259" spans="1:12" x14ac:dyDescent="0.25">
      <c r="A259" t="s">
        <v>238</v>
      </c>
      <c r="H259" t="e">
        <f t="shared" si="18"/>
        <v>#VALUE!</v>
      </c>
      <c r="I259" t="e">
        <f t="shared" si="19"/>
        <v>#VALUE!</v>
      </c>
      <c r="J259">
        <f t="shared" si="20"/>
        <v>3</v>
      </c>
      <c r="K259" t="e">
        <f t="shared" si="21"/>
        <v>#VALUE!</v>
      </c>
      <c r="L259" t="str">
        <f>A259</f>
        <v xml:space="preserve">  {</v>
      </c>
    </row>
    <row r="260" spans="1:12" x14ac:dyDescent="0.25">
      <c r="A260" t="s">
        <v>347</v>
      </c>
      <c r="H260">
        <f t="shared" si="18"/>
        <v>9</v>
      </c>
      <c r="I260" t="str">
        <f t="shared" si="19"/>
        <v xml:space="preserve">    guid:</v>
      </c>
      <c r="J260">
        <f t="shared" si="20"/>
        <v>47</v>
      </c>
      <c r="K260" t="str">
        <f t="shared" si="21"/>
        <v>b9e23847-3fd8-6bab-c21a-396003e55b88</v>
      </c>
      <c r="L260" t="str">
        <f t="shared" si="22"/>
        <v xml:space="preserve">    guid: 'b9e23847-3fd8-6bab-c21a-396003e55b88',</v>
      </c>
    </row>
    <row r="261" spans="1:12" x14ac:dyDescent="0.25">
      <c r="A261" t="s">
        <v>348</v>
      </c>
      <c r="H261">
        <f t="shared" ref="H261:H324" si="23">SEARCH(":",A261)</f>
        <v>9</v>
      </c>
      <c r="I261" t="str">
        <f t="shared" ref="I261:I324" si="24">LOWER(LEFT(A261,H261))</f>
        <v xml:space="preserve">    name:</v>
      </c>
      <c r="J261">
        <f t="shared" ref="J261:J324" si="25">LEN(A261)</f>
        <v>15</v>
      </c>
      <c r="K261" t="str">
        <f t="shared" ref="K261:K324" si="26">MID(A261,H261+2,J261-H261-2)</f>
        <v>EKET</v>
      </c>
      <c r="L261" t="str">
        <f t="shared" ref="L261:L324" si="27">_xlfn.CONCAT(I261," '",K261,"'",",")</f>
        <v xml:space="preserve">    name: 'EKET',</v>
      </c>
    </row>
    <row r="262" spans="1:12" x14ac:dyDescent="0.25">
      <c r="A262" t="s">
        <v>338</v>
      </c>
      <c r="H262">
        <f t="shared" si="23"/>
        <v>13</v>
      </c>
      <c r="I262" t="str">
        <f t="shared" si="24"/>
        <v xml:space="preserve">    category:</v>
      </c>
      <c r="J262">
        <f t="shared" si="25"/>
        <v>35</v>
      </c>
      <c r="K262" t="str">
        <f t="shared" si="26"/>
        <v>Cabinets &amp; cupboards</v>
      </c>
      <c r="L262" t="str">
        <f t="shared" si="27"/>
        <v xml:space="preserve">    category: 'Cabinets &amp; cupboards',</v>
      </c>
    </row>
    <row r="263" spans="1:12" x14ac:dyDescent="0.25">
      <c r="A263" t="s">
        <v>349</v>
      </c>
      <c r="H263">
        <f t="shared" si="23"/>
        <v>10</v>
      </c>
      <c r="I263" t="str">
        <f t="shared" si="24"/>
        <v xml:space="preserve">    price:</v>
      </c>
      <c r="J263">
        <f t="shared" si="25"/>
        <v>15</v>
      </c>
      <c r="K263" t="str">
        <f t="shared" si="26"/>
        <v>311</v>
      </c>
      <c r="L263" t="str">
        <f t="shared" si="27"/>
        <v xml:space="preserve">    price: '311',</v>
      </c>
    </row>
    <row r="264" spans="1:12" x14ac:dyDescent="0.25">
      <c r="A264" t="s">
        <v>350</v>
      </c>
      <c r="H264">
        <f t="shared" si="23"/>
        <v>16</v>
      </c>
      <c r="I264" t="str">
        <f t="shared" si="24"/>
        <v xml:space="preserve">    description:</v>
      </c>
      <c r="J264">
        <f t="shared" si="25"/>
        <v>60</v>
      </c>
      <c r="K264" t="str">
        <f t="shared" si="26"/>
        <v>Cabinet combination with legs, 70x35x80 cm</v>
      </c>
      <c r="L264" t="str">
        <f t="shared" si="27"/>
        <v xml:space="preserve">    description: 'Cabinet combination with legs, 70x35x80 cm',</v>
      </c>
    </row>
    <row r="265" spans="1:12" x14ac:dyDescent="0.25">
      <c r="A265" t="s">
        <v>296</v>
      </c>
      <c r="H265">
        <f t="shared" si="23"/>
        <v>13</v>
      </c>
      <c r="I265" t="str">
        <f t="shared" si="24"/>
        <v xml:space="preserve">    designer:</v>
      </c>
      <c r="J265">
        <f t="shared" si="25"/>
        <v>26</v>
      </c>
      <c r="K265" t="str">
        <f t="shared" si="26"/>
        <v>Jon Karlsso</v>
      </c>
      <c r="L265" t="str">
        <f t="shared" si="27"/>
        <v xml:space="preserve">    designer: 'Jon Karlsso',</v>
      </c>
    </row>
    <row r="266" spans="1:12" x14ac:dyDescent="0.25">
      <c r="A266" t="s">
        <v>522</v>
      </c>
      <c r="H266" t="e">
        <f t="shared" si="23"/>
        <v>#VALUE!</v>
      </c>
      <c r="I266" t="e">
        <f t="shared" si="24"/>
        <v>#VALUE!</v>
      </c>
      <c r="J266">
        <f t="shared" si="25"/>
        <v>4</v>
      </c>
      <c r="K266" t="e">
        <f t="shared" si="26"/>
        <v>#VALUE!</v>
      </c>
      <c r="L266" t="str">
        <f>A266</f>
        <v xml:space="preserve">  },</v>
      </c>
    </row>
    <row r="267" spans="1:12" x14ac:dyDescent="0.25">
      <c r="A267" t="s">
        <v>238</v>
      </c>
      <c r="H267" t="e">
        <f t="shared" si="23"/>
        <v>#VALUE!</v>
      </c>
      <c r="I267" t="e">
        <f t="shared" si="24"/>
        <v>#VALUE!</v>
      </c>
      <c r="J267">
        <f t="shared" si="25"/>
        <v>3</v>
      </c>
      <c r="K267" t="e">
        <f t="shared" si="26"/>
        <v>#VALUE!</v>
      </c>
      <c r="L267" t="str">
        <f>A267</f>
        <v xml:space="preserve">  {</v>
      </c>
    </row>
    <row r="268" spans="1:12" x14ac:dyDescent="0.25">
      <c r="A268" t="s">
        <v>351</v>
      </c>
      <c r="H268">
        <f t="shared" si="23"/>
        <v>9</v>
      </c>
      <c r="I268" t="str">
        <f t="shared" si="24"/>
        <v xml:space="preserve">    guid:</v>
      </c>
      <c r="J268">
        <f t="shared" si="25"/>
        <v>47</v>
      </c>
      <c r="K268" t="str">
        <f t="shared" si="26"/>
        <v>1bb49345-a2ad-1764-3dc6-3219262c42bf</v>
      </c>
      <c r="L268" t="str">
        <f t="shared" si="27"/>
        <v xml:space="preserve">    guid: '1bb49345-a2ad-1764-3dc6-3219262c42bf',</v>
      </c>
    </row>
    <row r="269" spans="1:12" x14ac:dyDescent="0.25">
      <c r="A269" t="s">
        <v>352</v>
      </c>
      <c r="H269">
        <f t="shared" si="23"/>
        <v>9</v>
      </c>
      <c r="I269" t="str">
        <f t="shared" si="24"/>
        <v xml:space="preserve">    name:</v>
      </c>
      <c r="J269">
        <f t="shared" si="25"/>
        <v>15</v>
      </c>
      <c r="K269" t="str">
        <f t="shared" si="26"/>
        <v>IVAR</v>
      </c>
      <c r="L269" t="str">
        <f t="shared" si="27"/>
        <v xml:space="preserve">    name: 'IVAR',</v>
      </c>
    </row>
    <row r="270" spans="1:12" x14ac:dyDescent="0.25">
      <c r="A270" t="s">
        <v>338</v>
      </c>
      <c r="H270">
        <f t="shared" si="23"/>
        <v>13</v>
      </c>
      <c r="I270" t="str">
        <f t="shared" si="24"/>
        <v xml:space="preserve">    category:</v>
      </c>
      <c r="J270">
        <f t="shared" si="25"/>
        <v>35</v>
      </c>
      <c r="K270" t="str">
        <f t="shared" si="26"/>
        <v>Cabinets &amp; cupboards</v>
      </c>
      <c r="L270" t="str">
        <f t="shared" si="27"/>
        <v xml:space="preserve">    category: 'Cabinets &amp; cupboards',</v>
      </c>
    </row>
    <row r="271" spans="1:12" x14ac:dyDescent="0.25">
      <c r="A271" t="s">
        <v>353</v>
      </c>
      <c r="H271">
        <f t="shared" si="23"/>
        <v>10</v>
      </c>
      <c r="I271" t="str">
        <f t="shared" si="24"/>
        <v xml:space="preserve">    price:</v>
      </c>
      <c r="J271">
        <f t="shared" si="25"/>
        <v>15</v>
      </c>
      <c r="K271" t="str">
        <f t="shared" si="26"/>
        <v>295</v>
      </c>
      <c r="L271" t="str">
        <f t="shared" si="27"/>
        <v xml:space="preserve">    price: '295',</v>
      </c>
    </row>
    <row r="272" spans="1:12" x14ac:dyDescent="0.25">
      <c r="A272" t="s">
        <v>354</v>
      </c>
      <c r="H272">
        <f t="shared" si="23"/>
        <v>16</v>
      </c>
      <c r="I272" t="str">
        <f t="shared" si="24"/>
        <v xml:space="preserve">    description:</v>
      </c>
      <c r="J272">
        <f t="shared" si="25"/>
        <v>38</v>
      </c>
      <c r="K272" t="str">
        <f t="shared" si="26"/>
        <v>Cabinet, 80x30x83 cm</v>
      </c>
      <c r="L272" t="str">
        <f t="shared" si="27"/>
        <v xml:space="preserve">    description: 'Cabinet, 80x30x83 cm',</v>
      </c>
    </row>
    <row r="273" spans="1:12" x14ac:dyDescent="0.25">
      <c r="A273" t="s">
        <v>341</v>
      </c>
      <c r="H273">
        <f t="shared" si="23"/>
        <v>13</v>
      </c>
      <c r="I273" t="str">
        <f t="shared" si="24"/>
        <v xml:space="preserve">    designer:</v>
      </c>
      <c r="J273">
        <f t="shared" si="25"/>
        <v>28</v>
      </c>
      <c r="K273" t="str">
        <f t="shared" si="26"/>
        <v>IKEA of Swede</v>
      </c>
      <c r="L273" t="str">
        <f t="shared" si="27"/>
        <v xml:space="preserve">    designer: 'IKEA of Swede',</v>
      </c>
    </row>
    <row r="274" spans="1:12" x14ac:dyDescent="0.25">
      <c r="A274" t="s">
        <v>522</v>
      </c>
      <c r="H274" t="e">
        <f t="shared" si="23"/>
        <v>#VALUE!</v>
      </c>
      <c r="I274" t="e">
        <f t="shared" si="24"/>
        <v>#VALUE!</v>
      </c>
      <c r="J274">
        <f t="shared" si="25"/>
        <v>4</v>
      </c>
      <c r="K274" t="e">
        <f t="shared" si="26"/>
        <v>#VALUE!</v>
      </c>
      <c r="L274" t="str">
        <f>A274</f>
        <v xml:space="preserve">  },</v>
      </c>
    </row>
    <row r="275" spans="1:12" x14ac:dyDescent="0.25">
      <c r="A275" t="s">
        <v>238</v>
      </c>
      <c r="H275" t="e">
        <f t="shared" si="23"/>
        <v>#VALUE!</v>
      </c>
      <c r="I275" t="e">
        <f t="shared" si="24"/>
        <v>#VALUE!</v>
      </c>
      <c r="J275">
        <f t="shared" si="25"/>
        <v>3</v>
      </c>
      <c r="K275" t="e">
        <f t="shared" si="26"/>
        <v>#VALUE!</v>
      </c>
      <c r="L275" t="str">
        <f>A275</f>
        <v xml:space="preserve">  {</v>
      </c>
    </row>
    <row r="276" spans="1:12" x14ac:dyDescent="0.25">
      <c r="A276" t="s">
        <v>355</v>
      </c>
      <c r="H276">
        <f t="shared" si="23"/>
        <v>9</v>
      </c>
      <c r="I276" t="str">
        <f t="shared" si="24"/>
        <v xml:space="preserve">    guid:</v>
      </c>
      <c r="J276">
        <f t="shared" si="25"/>
        <v>47</v>
      </c>
      <c r="K276" t="str">
        <f t="shared" si="26"/>
        <v>624d3419-49a8-123b-de7c-3ef019ab7784</v>
      </c>
      <c r="L276" t="str">
        <f t="shared" si="27"/>
        <v xml:space="preserve">    guid: '624d3419-49a8-123b-de7c-3ef019ab7784',</v>
      </c>
    </row>
    <row r="277" spans="1:12" x14ac:dyDescent="0.25">
      <c r="A277" t="s">
        <v>356</v>
      </c>
      <c r="H277">
        <f t="shared" si="23"/>
        <v>9</v>
      </c>
      <c r="I277" t="str">
        <f t="shared" si="24"/>
        <v xml:space="preserve">    name:</v>
      </c>
      <c r="J277">
        <f t="shared" si="25"/>
        <v>18</v>
      </c>
      <c r="K277" t="str">
        <f t="shared" si="26"/>
        <v>LOMMARP</v>
      </c>
      <c r="L277" t="str">
        <f t="shared" si="27"/>
        <v xml:space="preserve">    name: 'LOMMARP',</v>
      </c>
    </row>
    <row r="278" spans="1:12" x14ac:dyDescent="0.25">
      <c r="A278" t="s">
        <v>338</v>
      </c>
      <c r="H278">
        <f t="shared" si="23"/>
        <v>13</v>
      </c>
      <c r="I278" t="str">
        <f t="shared" si="24"/>
        <v xml:space="preserve">    category:</v>
      </c>
      <c r="J278">
        <f t="shared" si="25"/>
        <v>35</v>
      </c>
      <c r="K278" t="str">
        <f t="shared" si="26"/>
        <v>Cabinets &amp; cupboards</v>
      </c>
      <c r="L278" t="str">
        <f t="shared" si="27"/>
        <v xml:space="preserve">    category: 'Cabinets &amp; cupboards',</v>
      </c>
    </row>
    <row r="279" spans="1:12" x14ac:dyDescent="0.25">
      <c r="A279" t="s">
        <v>357</v>
      </c>
      <c r="H279">
        <f t="shared" si="23"/>
        <v>10</v>
      </c>
      <c r="I279" t="str">
        <f t="shared" si="24"/>
        <v xml:space="preserve">    price:</v>
      </c>
      <c r="J279">
        <f t="shared" si="25"/>
        <v>16</v>
      </c>
      <c r="K279" t="str">
        <f t="shared" si="26"/>
        <v>1116</v>
      </c>
      <c r="L279" t="str">
        <f t="shared" si="27"/>
        <v xml:space="preserve">    price: '1116',</v>
      </c>
    </row>
    <row r="280" spans="1:12" x14ac:dyDescent="0.25">
      <c r="A280" t="s">
        <v>358</v>
      </c>
      <c r="H280">
        <f t="shared" si="23"/>
        <v>16</v>
      </c>
      <c r="I280" t="str">
        <f t="shared" si="24"/>
        <v xml:space="preserve">    description:</v>
      </c>
      <c r="J280">
        <f t="shared" si="25"/>
        <v>53</v>
      </c>
      <c r="K280" t="str">
        <f t="shared" si="26"/>
        <v>Cabinet with glass doors, 86x199 cm</v>
      </c>
      <c r="L280" t="str">
        <f t="shared" si="27"/>
        <v xml:space="preserve">    description: 'Cabinet with glass doors, 86x199 cm',</v>
      </c>
    </row>
    <row r="281" spans="1:12" x14ac:dyDescent="0.25">
      <c r="A281" t="s">
        <v>251</v>
      </c>
      <c r="H281">
        <f t="shared" si="23"/>
        <v>13</v>
      </c>
      <c r="I281" t="str">
        <f t="shared" si="24"/>
        <v xml:space="preserve">    designer:</v>
      </c>
      <c r="J281">
        <f t="shared" si="25"/>
        <v>31</v>
      </c>
      <c r="K281" t="str">
        <f t="shared" si="26"/>
        <v>Francis Cayouett</v>
      </c>
      <c r="L281" t="str">
        <f t="shared" si="27"/>
        <v xml:space="preserve">    designer: 'Francis Cayouett',</v>
      </c>
    </row>
    <row r="282" spans="1:12" x14ac:dyDescent="0.25">
      <c r="A282" t="s">
        <v>522</v>
      </c>
      <c r="H282" t="e">
        <f t="shared" si="23"/>
        <v>#VALUE!</v>
      </c>
      <c r="I282" t="e">
        <f t="shared" si="24"/>
        <v>#VALUE!</v>
      </c>
      <c r="J282">
        <f t="shared" si="25"/>
        <v>4</v>
      </c>
      <c r="K282" t="e">
        <f t="shared" si="26"/>
        <v>#VALUE!</v>
      </c>
      <c r="L282" t="str">
        <f>A282</f>
        <v xml:space="preserve">  },</v>
      </c>
    </row>
    <row r="283" spans="1:12" x14ac:dyDescent="0.25">
      <c r="A283" t="s">
        <v>238</v>
      </c>
      <c r="H283" t="e">
        <f t="shared" si="23"/>
        <v>#VALUE!</v>
      </c>
      <c r="I283" t="e">
        <f t="shared" si="24"/>
        <v>#VALUE!</v>
      </c>
      <c r="J283">
        <f t="shared" si="25"/>
        <v>3</v>
      </c>
      <c r="K283" t="e">
        <f t="shared" si="26"/>
        <v>#VALUE!</v>
      </c>
      <c r="L283" t="str">
        <f>A283</f>
        <v xml:space="preserve">  {</v>
      </c>
    </row>
    <row r="284" spans="1:12" x14ac:dyDescent="0.25">
      <c r="A284" t="s">
        <v>359</v>
      </c>
      <c r="H284">
        <f t="shared" si="23"/>
        <v>9</v>
      </c>
      <c r="I284" t="str">
        <f t="shared" si="24"/>
        <v xml:space="preserve">    guid:</v>
      </c>
      <c r="J284">
        <f t="shared" si="25"/>
        <v>47</v>
      </c>
      <c r="K284" t="str">
        <f t="shared" si="26"/>
        <v>260045d5-fe59-b6db-cc6c-01118c38e2a1</v>
      </c>
      <c r="L284" t="str">
        <f t="shared" si="27"/>
        <v xml:space="preserve">    guid: '260045d5-fe59-b6db-cc6c-01118c38e2a1',</v>
      </c>
    </row>
    <row r="285" spans="1:12" x14ac:dyDescent="0.25">
      <c r="A285" t="s">
        <v>360</v>
      </c>
      <c r="H285">
        <f t="shared" si="23"/>
        <v>9</v>
      </c>
      <c r="I285" t="str">
        <f t="shared" si="24"/>
        <v xml:space="preserve">    name:</v>
      </c>
      <c r="J285">
        <f t="shared" si="25"/>
        <v>17</v>
      </c>
      <c r="K285" t="str">
        <f t="shared" si="26"/>
        <v>DETOLF</v>
      </c>
      <c r="L285" t="str">
        <f t="shared" si="27"/>
        <v xml:space="preserve">    name: 'DETOLF',</v>
      </c>
    </row>
    <row r="286" spans="1:12" x14ac:dyDescent="0.25">
      <c r="A286" t="s">
        <v>338</v>
      </c>
      <c r="H286">
        <f t="shared" si="23"/>
        <v>13</v>
      </c>
      <c r="I286" t="str">
        <f t="shared" si="24"/>
        <v xml:space="preserve">    category:</v>
      </c>
      <c r="J286">
        <f t="shared" si="25"/>
        <v>35</v>
      </c>
      <c r="K286" t="str">
        <f t="shared" si="26"/>
        <v>Cabinets &amp; cupboards</v>
      </c>
      <c r="L286" t="str">
        <f t="shared" si="27"/>
        <v xml:space="preserve">    category: 'Cabinets &amp; cupboards',</v>
      </c>
    </row>
    <row r="287" spans="1:12" x14ac:dyDescent="0.25">
      <c r="A287" t="s">
        <v>353</v>
      </c>
      <c r="H287">
        <f t="shared" si="23"/>
        <v>10</v>
      </c>
      <c r="I287" t="str">
        <f t="shared" si="24"/>
        <v xml:space="preserve">    price:</v>
      </c>
      <c r="J287">
        <f t="shared" si="25"/>
        <v>15</v>
      </c>
      <c r="K287" t="str">
        <f t="shared" si="26"/>
        <v>295</v>
      </c>
      <c r="L287" t="str">
        <f t="shared" si="27"/>
        <v xml:space="preserve">    price: '295',</v>
      </c>
    </row>
    <row r="288" spans="1:12" x14ac:dyDescent="0.25">
      <c r="A288" t="s">
        <v>361</v>
      </c>
      <c r="H288">
        <f t="shared" si="23"/>
        <v>16</v>
      </c>
      <c r="I288" t="str">
        <f t="shared" si="24"/>
        <v xml:space="preserve">    description:</v>
      </c>
      <c r="J288">
        <f t="shared" si="25"/>
        <v>47</v>
      </c>
      <c r="K288" t="str">
        <f t="shared" si="26"/>
        <v>Glass-door cabinet, 43x163 cm</v>
      </c>
      <c r="L288" t="str">
        <f t="shared" si="27"/>
        <v xml:space="preserve">    description: 'Glass-door cabinet, 43x163 cm',</v>
      </c>
    </row>
    <row r="289" spans="1:12" x14ac:dyDescent="0.25">
      <c r="A289" t="s">
        <v>341</v>
      </c>
      <c r="H289">
        <f t="shared" si="23"/>
        <v>13</v>
      </c>
      <c r="I289" t="str">
        <f t="shared" si="24"/>
        <v xml:space="preserve">    designer:</v>
      </c>
      <c r="J289">
        <f t="shared" si="25"/>
        <v>28</v>
      </c>
      <c r="K289" t="str">
        <f t="shared" si="26"/>
        <v>IKEA of Swede</v>
      </c>
      <c r="L289" t="str">
        <f t="shared" si="27"/>
        <v xml:space="preserve">    designer: 'IKEA of Swede',</v>
      </c>
    </row>
    <row r="290" spans="1:12" x14ac:dyDescent="0.25">
      <c r="A290" t="s">
        <v>522</v>
      </c>
      <c r="H290" t="e">
        <f t="shared" si="23"/>
        <v>#VALUE!</v>
      </c>
      <c r="I290" t="e">
        <f t="shared" si="24"/>
        <v>#VALUE!</v>
      </c>
      <c r="J290">
        <f t="shared" si="25"/>
        <v>4</v>
      </c>
      <c r="K290" t="e">
        <f t="shared" si="26"/>
        <v>#VALUE!</v>
      </c>
      <c r="L290" t="str">
        <f>A290</f>
        <v xml:space="preserve">  },</v>
      </c>
    </row>
    <row r="291" spans="1:12" x14ac:dyDescent="0.25">
      <c r="A291" t="s">
        <v>238</v>
      </c>
      <c r="H291" t="e">
        <f t="shared" si="23"/>
        <v>#VALUE!</v>
      </c>
      <c r="I291" t="e">
        <f t="shared" si="24"/>
        <v>#VALUE!</v>
      </c>
      <c r="J291">
        <f t="shared" si="25"/>
        <v>3</v>
      </c>
      <c r="K291" t="e">
        <f t="shared" si="26"/>
        <v>#VALUE!</v>
      </c>
      <c r="L291" t="str">
        <f>A291</f>
        <v xml:space="preserve">  {</v>
      </c>
    </row>
    <row r="292" spans="1:12" x14ac:dyDescent="0.25">
      <c r="A292" t="s">
        <v>362</v>
      </c>
      <c r="H292">
        <f t="shared" si="23"/>
        <v>9</v>
      </c>
      <c r="I292" t="str">
        <f t="shared" si="24"/>
        <v xml:space="preserve">    guid:</v>
      </c>
      <c r="J292">
        <f t="shared" si="25"/>
        <v>47</v>
      </c>
      <c r="K292" t="str">
        <f t="shared" si="26"/>
        <v>4fdcd87f-fb9f-16dd-4542-ed525e525fec</v>
      </c>
      <c r="L292" t="str">
        <f t="shared" si="27"/>
        <v xml:space="preserve">    guid: '4fdcd87f-fb9f-16dd-4542-ed525e525fec',</v>
      </c>
    </row>
    <row r="293" spans="1:12" x14ac:dyDescent="0.25">
      <c r="A293" t="s">
        <v>343</v>
      </c>
      <c r="H293">
        <f t="shared" si="23"/>
        <v>9</v>
      </c>
      <c r="I293" t="str">
        <f t="shared" si="24"/>
        <v xml:space="preserve">    name:</v>
      </c>
      <c r="J293">
        <f t="shared" si="25"/>
        <v>17</v>
      </c>
      <c r="K293" t="str">
        <f t="shared" si="26"/>
        <v>KALLAX</v>
      </c>
      <c r="L293" t="str">
        <f t="shared" si="27"/>
        <v xml:space="preserve">    name: 'KALLAX',</v>
      </c>
    </row>
    <row r="294" spans="1:12" x14ac:dyDescent="0.25">
      <c r="A294" t="s">
        <v>338</v>
      </c>
      <c r="H294">
        <f t="shared" si="23"/>
        <v>13</v>
      </c>
      <c r="I294" t="str">
        <f t="shared" si="24"/>
        <v xml:space="preserve">    category:</v>
      </c>
      <c r="J294">
        <f t="shared" si="25"/>
        <v>35</v>
      </c>
      <c r="K294" t="str">
        <f t="shared" si="26"/>
        <v>Cabinets &amp; cupboards</v>
      </c>
      <c r="L294" t="str">
        <f t="shared" si="27"/>
        <v xml:space="preserve">    category: 'Cabinets &amp; cupboards',</v>
      </c>
    </row>
    <row r="295" spans="1:12" x14ac:dyDescent="0.25">
      <c r="A295" t="s">
        <v>363</v>
      </c>
      <c r="H295">
        <f t="shared" si="23"/>
        <v>10</v>
      </c>
      <c r="I295" t="str">
        <f t="shared" si="24"/>
        <v xml:space="preserve">    price:</v>
      </c>
      <c r="J295">
        <f t="shared" si="25"/>
        <v>15</v>
      </c>
      <c r="K295" t="str">
        <f t="shared" si="26"/>
        <v>500</v>
      </c>
      <c r="L295" t="str">
        <f t="shared" si="27"/>
        <v xml:space="preserve">    price: '500',</v>
      </c>
    </row>
    <row r="296" spans="1:12" x14ac:dyDescent="0.25">
      <c r="A296" t="s">
        <v>364</v>
      </c>
      <c r="H296">
        <f t="shared" si="23"/>
        <v>16</v>
      </c>
      <c r="I296" t="str">
        <f t="shared" si="24"/>
        <v xml:space="preserve">    description:</v>
      </c>
      <c r="J296">
        <f t="shared" si="25"/>
        <v>57</v>
      </c>
      <c r="K296" t="str">
        <f t="shared" si="26"/>
        <v>Shelving unit with 4 inserts, 77x147 cm</v>
      </c>
      <c r="L296" t="str">
        <f t="shared" si="27"/>
        <v xml:space="preserve">    description: 'Shelving unit with 4 inserts, 77x147 cm',</v>
      </c>
    </row>
    <row r="297" spans="1:12" x14ac:dyDescent="0.25">
      <c r="A297" t="s">
        <v>346</v>
      </c>
      <c r="H297">
        <f t="shared" si="23"/>
        <v>13</v>
      </c>
      <c r="I297" t="str">
        <f t="shared" si="24"/>
        <v xml:space="preserve">    designer:</v>
      </c>
      <c r="J297">
        <f t="shared" si="25"/>
        <v>28</v>
      </c>
      <c r="K297" t="str">
        <f t="shared" si="26"/>
        <v>Tord Bjarklun</v>
      </c>
      <c r="L297" t="str">
        <f t="shared" si="27"/>
        <v xml:space="preserve">    designer: 'Tord Bjarklun',</v>
      </c>
    </row>
    <row r="298" spans="1:12" x14ac:dyDescent="0.25">
      <c r="A298" t="s">
        <v>522</v>
      </c>
      <c r="H298" t="e">
        <f t="shared" si="23"/>
        <v>#VALUE!</v>
      </c>
      <c r="I298" t="e">
        <f t="shared" si="24"/>
        <v>#VALUE!</v>
      </c>
      <c r="J298">
        <f t="shared" si="25"/>
        <v>4</v>
      </c>
      <c r="K298" t="e">
        <f t="shared" si="26"/>
        <v>#VALUE!</v>
      </c>
      <c r="L298" t="str">
        <f>A298</f>
        <v xml:space="preserve">  },</v>
      </c>
    </row>
    <row r="299" spans="1:12" x14ac:dyDescent="0.25">
      <c r="A299" t="s">
        <v>238</v>
      </c>
      <c r="H299" t="e">
        <f t="shared" si="23"/>
        <v>#VALUE!</v>
      </c>
      <c r="I299" t="e">
        <f t="shared" si="24"/>
        <v>#VALUE!</v>
      </c>
      <c r="J299">
        <f t="shared" si="25"/>
        <v>3</v>
      </c>
      <c r="K299" t="e">
        <f t="shared" si="26"/>
        <v>#VALUE!</v>
      </c>
      <c r="L299" t="str">
        <f>A299</f>
        <v xml:space="preserve">  {</v>
      </c>
    </row>
    <row r="300" spans="1:12" x14ac:dyDescent="0.25">
      <c r="A300" t="s">
        <v>365</v>
      </c>
      <c r="H300">
        <f t="shared" si="23"/>
        <v>9</v>
      </c>
      <c r="I300" t="str">
        <f t="shared" si="24"/>
        <v xml:space="preserve">    guid:</v>
      </c>
      <c r="J300">
        <f t="shared" si="25"/>
        <v>47</v>
      </c>
      <c r="K300" t="str">
        <f t="shared" si="26"/>
        <v>1b8063e6-5053-72c0-73be-e8361549f26e</v>
      </c>
      <c r="L300" t="str">
        <f t="shared" si="27"/>
        <v xml:space="preserve">    guid: '1b8063e6-5053-72c0-73be-e8361549f26e',</v>
      </c>
    </row>
    <row r="301" spans="1:12" x14ac:dyDescent="0.25">
      <c r="A301" t="s">
        <v>366</v>
      </c>
      <c r="H301">
        <f t="shared" si="23"/>
        <v>9</v>
      </c>
      <c r="I301" t="str">
        <f t="shared" si="24"/>
        <v xml:space="preserve">    name:</v>
      </c>
      <c r="J301">
        <f t="shared" si="25"/>
        <v>25</v>
      </c>
      <c r="K301" t="str">
        <f t="shared" si="26"/>
        <v>BILLY / OXBERG</v>
      </c>
      <c r="L301" t="str">
        <f t="shared" si="27"/>
        <v xml:space="preserve">    name: 'BILLY / OXBERG',</v>
      </c>
    </row>
    <row r="302" spans="1:12" x14ac:dyDescent="0.25">
      <c r="A302" t="s">
        <v>338</v>
      </c>
      <c r="H302">
        <f t="shared" si="23"/>
        <v>13</v>
      </c>
      <c r="I302" t="str">
        <f t="shared" si="24"/>
        <v xml:space="preserve">    category:</v>
      </c>
      <c r="J302">
        <f t="shared" si="25"/>
        <v>35</v>
      </c>
      <c r="K302" t="str">
        <f t="shared" si="26"/>
        <v>Cabinets &amp; cupboards</v>
      </c>
      <c r="L302" t="str">
        <f t="shared" si="27"/>
        <v xml:space="preserve">    category: 'Cabinets &amp; cupboards',</v>
      </c>
    </row>
    <row r="303" spans="1:12" x14ac:dyDescent="0.25">
      <c r="A303" t="s">
        <v>367</v>
      </c>
      <c r="H303">
        <f t="shared" si="23"/>
        <v>10</v>
      </c>
      <c r="I303" t="str">
        <f t="shared" si="24"/>
        <v xml:space="preserve">    price:</v>
      </c>
      <c r="J303">
        <f t="shared" si="25"/>
        <v>15</v>
      </c>
      <c r="K303" t="str">
        <f t="shared" si="26"/>
        <v>315</v>
      </c>
      <c r="L303" t="str">
        <f t="shared" si="27"/>
        <v xml:space="preserve">    price: '315',</v>
      </c>
    </row>
    <row r="304" spans="1:12" x14ac:dyDescent="0.25">
      <c r="A304" t="s">
        <v>368</v>
      </c>
      <c r="H304">
        <f t="shared" si="23"/>
        <v>16</v>
      </c>
      <c r="I304" t="str">
        <f t="shared" si="24"/>
        <v xml:space="preserve">    description:</v>
      </c>
      <c r="J304">
        <f t="shared" si="25"/>
        <v>51</v>
      </c>
      <c r="K304" t="str">
        <f t="shared" si="26"/>
        <v>Bookcase with doors, 80x30x106 cm</v>
      </c>
      <c r="L304" t="str">
        <f t="shared" si="27"/>
        <v xml:space="preserve">    description: 'Bookcase with doors, 80x30x106 cm',</v>
      </c>
    </row>
    <row r="305" spans="1:12" x14ac:dyDescent="0.25">
      <c r="A305" t="s">
        <v>369</v>
      </c>
      <c r="H305">
        <f t="shared" si="23"/>
        <v>13</v>
      </c>
      <c r="I305" t="str">
        <f t="shared" si="24"/>
        <v xml:space="preserve">    designer:</v>
      </c>
      <c r="J305">
        <f t="shared" si="25"/>
        <v>29</v>
      </c>
      <c r="K305" t="str">
        <f t="shared" si="26"/>
        <v>Gillis Lundgre</v>
      </c>
      <c r="L305" t="str">
        <f t="shared" si="27"/>
        <v xml:space="preserve">    designer: 'Gillis Lundgre',</v>
      </c>
    </row>
    <row r="306" spans="1:12" x14ac:dyDescent="0.25">
      <c r="A306" t="s">
        <v>522</v>
      </c>
      <c r="H306" t="e">
        <f t="shared" si="23"/>
        <v>#VALUE!</v>
      </c>
      <c r="I306" t="e">
        <f t="shared" si="24"/>
        <v>#VALUE!</v>
      </c>
      <c r="J306">
        <f t="shared" si="25"/>
        <v>4</v>
      </c>
      <c r="K306" t="e">
        <f t="shared" si="26"/>
        <v>#VALUE!</v>
      </c>
      <c r="L306" t="str">
        <f>A306</f>
        <v xml:space="preserve">  },</v>
      </c>
    </row>
    <row r="307" spans="1:12" x14ac:dyDescent="0.25">
      <c r="A307" t="s">
        <v>238</v>
      </c>
      <c r="H307" t="e">
        <f t="shared" si="23"/>
        <v>#VALUE!</v>
      </c>
      <c r="I307" t="e">
        <f t="shared" si="24"/>
        <v>#VALUE!</v>
      </c>
      <c r="J307">
        <f t="shared" si="25"/>
        <v>3</v>
      </c>
      <c r="K307" t="e">
        <f t="shared" si="26"/>
        <v>#VALUE!</v>
      </c>
      <c r="L307" t="str">
        <f>A307</f>
        <v xml:space="preserve">  {</v>
      </c>
    </row>
    <row r="308" spans="1:12" x14ac:dyDescent="0.25">
      <c r="A308" t="s">
        <v>370</v>
      </c>
      <c r="H308">
        <f t="shared" si="23"/>
        <v>9</v>
      </c>
      <c r="I308" t="str">
        <f t="shared" si="24"/>
        <v xml:space="preserve">    guid:</v>
      </c>
      <c r="J308">
        <f t="shared" si="25"/>
        <v>47</v>
      </c>
      <c r="K308" t="str">
        <f t="shared" si="26"/>
        <v>36795daa-975d-4ee5-be92-f3d29f44ea51</v>
      </c>
      <c r="L308" t="str">
        <f t="shared" si="27"/>
        <v xml:space="preserve">    guid: '36795daa-975d-4ee5-be92-f3d29f44ea51',</v>
      </c>
    </row>
    <row r="309" spans="1:12" x14ac:dyDescent="0.25">
      <c r="A309" t="s">
        <v>371</v>
      </c>
      <c r="H309">
        <f t="shared" si="23"/>
        <v>9</v>
      </c>
      <c r="I309" t="str">
        <f t="shared" si="24"/>
        <v xml:space="preserve">    name:</v>
      </c>
      <c r="J309">
        <f t="shared" si="25"/>
        <v>16</v>
      </c>
      <c r="K309" t="str">
        <f t="shared" si="26"/>
        <v>SYVDE</v>
      </c>
      <c r="L309" t="str">
        <f t="shared" si="27"/>
        <v xml:space="preserve">    name: 'SYVDE',</v>
      </c>
    </row>
    <row r="310" spans="1:12" x14ac:dyDescent="0.25">
      <c r="A310" t="s">
        <v>338</v>
      </c>
      <c r="H310">
        <f t="shared" si="23"/>
        <v>13</v>
      </c>
      <c r="I310" t="str">
        <f t="shared" si="24"/>
        <v xml:space="preserve">    category:</v>
      </c>
      <c r="J310">
        <f t="shared" si="25"/>
        <v>35</v>
      </c>
      <c r="K310" t="str">
        <f t="shared" si="26"/>
        <v>Cabinets &amp; cupboards</v>
      </c>
      <c r="L310" t="str">
        <f t="shared" si="27"/>
        <v xml:space="preserve">    category: 'Cabinets &amp; cupboards',</v>
      </c>
    </row>
    <row r="311" spans="1:12" x14ac:dyDescent="0.25">
      <c r="A311" t="s">
        <v>310</v>
      </c>
      <c r="H311">
        <f t="shared" si="23"/>
        <v>10</v>
      </c>
      <c r="I311" t="str">
        <f t="shared" si="24"/>
        <v xml:space="preserve">    price:</v>
      </c>
      <c r="J311">
        <f t="shared" si="25"/>
        <v>15</v>
      </c>
      <c r="K311" t="str">
        <f t="shared" si="26"/>
        <v>595</v>
      </c>
      <c r="L311" t="str">
        <f t="shared" si="27"/>
        <v xml:space="preserve">    price: '595',</v>
      </c>
    </row>
    <row r="312" spans="1:12" x14ac:dyDescent="0.25">
      <c r="A312" t="s">
        <v>372</v>
      </c>
      <c r="H312">
        <f t="shared" si="23"/>
        <v>16</v>
      </c>
      <c r="I312" t="str">
        <f t="shared" si="24"/>
        <v xml:space="preserve">    description:</v>
      </c>
      <c r="J312">
        <f t="shared" si="25"/>
        <v>54</v>
      </c>
      <c r="K312" t="str">
        <f t="shared" si="26"/>
        <v>Cabinet with glass doors, 100x123 cm</v>
      </c>
      <c r="L312" t="str">
        <f t="shared" si="27"/>
        <v xml:space="preserve">    description: 'Cabinet with glass doors, 100x123 cm',</v>
      </c>
    </row>
    <row r="313" spans="1:12" x14ac:dyDescent="0.25">
      <c r="A313" t="s">
        <v>341</v>
      </c>
      <c r="H313">
        <f t="shared" si="23"/>
        <v>13</v>
      </c>
      <c r="I313" t="str">
        <f t="shared" si="24"/>
        <v xml:space="preserve">    designer:</v>
      </c>
      <c r="J313">
        <f t="shared" si="25"/>
        <v>28</v>
      </c>
      <c r="K313" t="str">
        <f t="shared" si="26"/>
        <v>IKEA of Swede</v>
      </c>
      <c r="L313" t="str">
        <f t="shared" si="27"/>
        <v xml:space="preserve">    designer: 'IKEA of Swede',</v>
      </c>
    </row>
    <row r="314" spans="1:12" x14ac:dyDescent="0.25">
      <c r="A314" t="s">
        <v>522</v>
      </c>
      <c r="H314" t="e">
        <f t="shared" si="23"/>
        <v>#VALUE!</v>
      </c>
      <c r="I314" t="e">
        <f t="shared" si="24"/>
        <v>#VALUE!</v>
      </c>
      <c r="J314">
        <f t="shared" si="25"/>
        <v>4</v>
      </c>
      <c r="K314" t="e">
        <f t="shared" si="26"/>
        <v>#VALUE!</v>
      </c>
      <c r="L314" t="str">
        <f>A314</f>
        <v xml:space="preserve">  },</v>
      </c>
    </row>
    <row r="315" spans="1:12" x14ac:dyDescent="0.25">
      <c r="A315" t="s">
        <v>238</v>
      </c>
      <c r="H315" t="e">
        <f t="shared" si="23"/>
        <v>#VALUE!</v>
      </c>
      <c r="I315" t="e">
        <f t="shared" si="24"/>
        <v>#VALUE!</v>
      </c>
      <c r="J315">
        <f t="shared" si="25"/>
        <v>3</v>
      </c>
      <c r="K315" t="e">
        <f t="shared" si="26"/>
        <v>#VALUE!</v>
      </c>
      <c r="L315" t="str">
        <f>A315</f>
        <v xml:space="preserve">  {</v>
      </c>
    </row>
    <row r="316" spans="1:12" x14ac:dyDescent="0.25">
      <c r="A316" t="s">
        <v>373</v>
      </c>
      <c r="H316">
        <f t="shared" si="23"/>
        <v>9</v>
      </c>
      <c r="I316" t="str">
        <f t="shared" si="24"/>
        <v xml:space="preserve">    guid:</v>
      </c>
      <c r="J316">
        <f t="shared" si="25"/>
        <v>47</v>
      </c>
      <c r="K316" t="str">
        <f t="shared" si="26"/>
        <v>697320cd-1ddf-5a95-db5f-1eed588d1485</v>
      </c>
      <c r="L316" t="str">
        <f t="shared" si="27"/>
        <v xml:space="preserve">    guid: '697320cd-1ddf-5a95-db5f-1eed588d1485',</v>
      </c>
    </row>
    <row r="317" spans="1:12" x14ac:dyDescent="0.25">
      <c r="A317" t="s">
        <v>348</v>
      </c>
      <c r="H317">
        <f t="shared" si="23"/>
        <v>9</v>
      </c>
      <c r="I317" t="str">
        <f t="shared" si="24"/>
        <v xml:space="preserve">    name:</v>
      </c>
      <c r="J317">
        <f t="shared" si="25"/>
        <v>15</v>
      </c>
      <c r="K317" t="str">
        <f t="shared" si="26"/>
        <v>EKET</v>
      </c>
      <c r="L317" t="str">
        <f t="shared" si="27"/>
        <v xml:space="preserve">    name: 'EKET',</v>
      </c>
    </row>
    <row r="318" spans="1:12" x14ac:dyDescent="0.25">
      <c r="A318" t="s">
        <v>338</v>
      </c>
      <c r="H318">
        <f t="shared" si="23"/>
        <v>13</v>
      </c>
      <c r="I318" t="str">
        <f t="shared" si="24"/>
        <v xml:space="preserve">    category:</v>
      </c>
      <c r="J318">
        <f t="shared" si="25"/>
        <v>35</v>
      </c>
      <c r="K318" t="str">
        <f t="shared" si="26"/>
        <v>Cabinets &amp; cupboards</v>
      </c>
      <c r="L318" t="str">
        <f t="shared" si="27"/>
        <v xml:space="preserve">    category: 'Cabinets &amp; cupboards',</v>
      </c>
    </row>
    <row r="319" spans="1:12" x14ac:dyDescent="0.25">
      <c r="A319" t="s">
        <v>374</v>
      </c>
      <c r="H319">
        <f t="shared" si="23"/>
        <v>10</v>
      </c>
      <c r="I319" t="str">
        <f t="shared" si="24"/>
        <v xml:space="preserve">    price:</v>
      </c>
      <c r="J319">
        <f t="shared" si="25"/>
        <v>15</v>
      </c>
      <c r="K319" t="str">
        <f t="shared" si="26"/>
        <v>377</v>
      </c>
      <c r="L319" t="str">
        <f t="shared" si="27"/>
        <v xml:space="preserve">    price: '377',</v>
      </c>
    </row>
    <row r="320" spans="1:12" x14ac:dyDescent="0.25">
      <c r="A320" t="s">
        <v>375</v>
      </c>
      <c r="H320">
        <f t="shared" si="23"/>
        <v>16</v>
      </c>
      <c r="I320" t="str">
        <f t="shared" si="24"/>
        <v xml:space="preserve">    description:</v>
      </c>
      <c r="J320">
        <f t="shared" si="25"/>
        <v>61</v>
      </c>
      <c r="K320" t="str">
        <f t="shared" si="26"/>
        <v>Cabinet combination with feet, 70x25x107 cm</v>
      </c>
      <c r="L320" t="str">
        <f t="shared" si="27"/>
        <v xml:space="preserve">    description: 'Cabinet combination with feet, 70x25x107 cm',</v>
      </c>
    </row>
    <row r="321" spans="1:12" x14ac:dyDescent="0.25">
      <c r="A321" t="s">
        <v>314</v>
      </c>
      <c r="H321">
        <f t="shared" si="23"/>
        <v>13</v>
      </c>
      <c r="I321" t="str">
        <f t="shared" si="24"/>
        <v xml:space="preserve">    designer:</v>
      </c>
      <c r="J321">
        <f t="shared" si="25"/>
        <v>41</v>
      </c>
      <c r="K321" t="str">
        <f t="shared" si="26"/>
        <v>Jon Karlsson/IKEA of Swede</v>
      </c>
      <c r="L321" t="str">
        <f t="shared" si="27"/>
        <v xml:space="preserve">    designer: 'Jon Karlsson/IKEA of Swede',</v>
      </c>
    </row>
    <row r="322" spans="1:12" x14ac:dyDescent="0.25">
      <c r="A322" t="s">
        <v>522</v>
      </c>
      <c r="H322" t="e">
        <f t="shared" si="23"/>
        <v>#VALUE!</v>
      </c>
      <c r="I322" t="e">
        <f t="shared" si="24"/>
        <v>#VALUE!</v>
      </c>
      <c r="J322">
        <f t="shared" si="25"/>
        <v>4</v>
      </c>
      <c r="K322" t="e">
        <f t="shared" si="26"/>
        <v>#VALUE!</v>
      </c>
      <c r="L322" t="str">
        <f>A322</f>
        <v xml:space="preserve">  },</v>
      </c>
    </row>
    <row r="323" spans="1:12" x14ac:dyDescent="0.25">
      <c r="A323" t="s">
        <v>238</v>
      </c>
      <c r="H323" t="e">
        <f t="shared" si="23"/>
        <v>#VALUE!</v>
      </c>
      <c r="I323" t="e">
        <f t="shared" si="24"/>
        <v>#VALUE!</v>
      </c>
      <c r="J323">
        <f t="shared" si="25"/>
        <v>3</v>
      </c>
      <c r="K323" t="e">
        <f t="shared" si="26"/>
        <v>#VALUE!</v>
      </c>
      <c r="L323" t="str">
        <f>A323</f>
        <v xml:space="preserve">  {</v>
      </c>
    </row>
    <row r="324" spans="1:12" x14ac:dyDescent="0.25">
      <c r="A324" t="s">
        <v>376</v>
      </c>
      <c r="H324">
        <f t="shared" si="23"/>
        <v>9</v>
      </c>
      <c r="I324" t="str">
        <f t="shared" si="24"/>
        <v xml:space="preserve">    guid:</v>
      </c>
      <c r="J324">
        <f t="shared" si="25"/>
        <v>47</v>
      </c>
      <c r="K324" t="str">
        <f t="shared" si="26"/>
        <v>fa79198c-d471-018d-1498-deba88a184ef</v>
      </c>
      <c r="L324" t="str">
        <f t="shared" si="27"/>
        <v xml:space="preserve">    guid: 'fa79198c-d471-018d-1498-deba88a184ef',</v>
      </c>
    </row>
    <row r="325" spans="1:12" x14ac:dyDescent="0.25">
      <c r="A325" t="s">
        <v>267</v>
      </c>
      <c r="H325">
        <f t="shared" ref="H325:H388" si="28">SEARCH(":",A325)</f>
        <v>9</v>
      </c>
      <c r="I325" t="str">
        <f t="shared" ref="I325:I388" si="29">LOWER(LEFT(A325,H325))</f>
        <v xml:space="preserve">    name:</v>
      </c>
      <c r="J325">
        <f t="shared" ref="J325:J388" si="30">LEN(A325)</f>
        <v>17</v>
      </c>
      <c r="K325" t="str">
        <f t="shared" ref="K325:K388" si="31">MID(A325,H325+2,J325-H325-2)</f>
        <v>INGOLF</v>
      </c>
      <c r="L325" t="str">
        <f t="shared" ref="L325:L388" si="32">_xlfn.CONCAT(I325," '",K325,"'",",")</f>
        <v xml:space="preserve">    name: 'INGOLF',</v>
      </c>
    </row>
    <row r="326" spans="1:12" x14ac:dyDescent="0.25">
      <c r="A326" t="s">
        <v>377</v>
      </c>
      <c r="H326">
        <f t="shared" si="28"/>
        <v>13</v>
      </c>
      <c r="I326" t="str">
        <f t="shared" si="29"/>
        <v xml:space="preserve">    category:</v>
      </c>
      <c r="J326">
        <f t="shared" si="30"/>
        <v>21</v>
      </c>
      <c r="K326" t="str">
        <f t="shared" si="31"/>
        <v>Chairs</v>
      </c>
      <c r="L326" t="str">
        <f t="shared" si="32"/>
        <v xml:space="preserve">    category: 'Chairs',</v>
      </c>
    </row>
    <row r="327" spans="1:12" x14ac:dyDescent="0.25">
      <c r="A327" t="s">
        <v>278</v>
      </c>
      <c r="H327">
        <f t="shared" si="28"/>
        <v>10</v>
      </c>
      <c r="I327" t="str">
        <f t="shared" si="29"/>
        <v xml:space="preserve">    price:</v>
      </c>
      <c r="J327">
        <f t="shared" si="30"/>
        <v>15</v>
      </c>
      <c r="K327" t="str">
        <f t="shared" si="31"/>
        <v>195</v>
      </c>
      <c r="L327" t="str">
        <f t="shared" si="32"/>
        <v xml:space="preserve">    price: '195',</v>
      </c>
    </row>
    <row r="328" spans="1:12" x14ac:dyDescent="0.25">
      <c r="A328" t="s">
        <v>378</v>
      </c>
      <c r="H328">
        <f t="shared" si="28"/>
        <v>16</v>
      </c>
      <c r="I328" t="str">
        <f t="shared" si="29"/>
        <v xml:space="preserve">    description:</v>
      </c>
      <c r="J328">
        <f t="shared" si="30"/>
        <v>23</v>
      </c>
      <c r="K328" t="str">
        <f t="shared" si="31"/>
        <v>Chair</v>
      </c>
      <c r="L328" t="str">
        <f t="shared" si="32"/>
        <v xml:space="preserve">    description: 'Chair',</v>
      </c>
    </row>
    <row r="329" spans="1:12" x14ac:dyDescent="0.25">
      <c r="A329" t="s">
        <v>270</v>
      </c>
      <c r="H329">
        <f t="shared" si="28"/>
        <v>13</v>
      </c>
      <c r="I329" t="str">
        <f t="shared" si="29"/>
        <v xml:space="preserve">    designer:</v>
      </c>
      <c r="J329">
        <f t="shared" si="30"/>
        <v>26</v>
      </c>
      <c r="K329" t="str">
        <f t="shared" si="31"/>
        <v>Carina Beng</v>
      </c>
      <c r="L329" t="str">
        <f t="shared" si="32"/>
        <v xml:space="preserve">    designer: 'Carina Beng',</v>
      </c>
    </row>
    <row r="330" spans="1:12" x14ac:dyDescent="0.25">
      <c r="A330" t="s">
        <v>522</v>
      </c>
      <c r="H330" t="e">
        <f t="shared" si="28"/>
        <v>#VALUE!</v>
      </c>
      <c r="I330" t="e">
        <f t="shared" si="29"/>
        <v>#VALUE!</v>
      </c>
      <c r="J330">
        <f t="shared" si="30"/>
        <v>4</v>
      </c>
      <c r="K330" t="e">
        <f t="shared" si="31"/>
        <v>#VALUE!</v>
      </c>
      <c r="L330" t="str">
        <f>A330</f>
        <v xml:space="preserve">  },</v>
      </c>
    </row>
    <row r="331" spans="1:12" x14ac:dyDescent="0.25">
      <c r="A331" t="s">
        <v>238</v>
      </c>
      <c r="H331" t="e">
        <f t="shared" si="28"/>
        <v>#VALUE!</v>
      </c>
      <c r="I331" t="e">
        <f t="shared" si="29"/>
        <v>#VALUE!</v>
      </c>
      <c r="J331">
        <f t="shared" si="30"/>
        <v>3</v>
      </c>
      <c r="K331" t="e">
        <f t="shared" si="31"/>
        <v>#VALUE!</v>
      </c>
      <c r="L331" t="str">
        <f>A331</f>
        <v xml:space="preserve">  {</v>
      </c>
    </row>
    <row r="332" spans="1:12" x14ac:dyDescent="0.25">
      <c r="A332" t="s">
        <v>379</v>
      </c>
      <c r="H332">
        <f t="shared" si="28"/>
        <v>9</v>
      </c>
      <c r="I332" t="str">
        <f t="shared" si="29"/>
        <v xml:space="preserve">    guid:</v>
      </c>
      <c r="J332">
        <f t="shared" si="30"/>
        <v>47</v>
      </c>
      <c r="K332" t="str">
        <f t="shared" si="31"/>
        <v>9bd54fe9-d85b-19dd-c130-ba09a056c437</v>
      </c>
      <c r="L332" t="str">
        <f t="shared" si="32"/>
        <v xml:space="preserve">    guid: '9bd54fe9-d85b-19dd-c130-ba09a056c437',</v>
      </c>
    </row>
    <row r="333" spans="1:12" x14ac:dyDescent="0.25">
      <c r="A333" t="s">
        <v>380</v>
      </c>
      <c r="H333">
        <f t="shared" si="28"/>
        <v>9</v>
      </c>
      <c r="I333" t="str">
        <f t="shared" si="29"/>
        <v xml:space="preserve">    name:</v>
      </c>
      <c r="J333">
        <f t="shared" si="30"/>
        <v>18</v>
      </c>
      <c r="K333" t="str">
        <f t="shared" si="31"/>
        <v>KARLJAN</v>
      </c>
      <c r="L333" t="str">
        <f t="shared" si="32"/>
        <v xml:space="preserve">    name: 'KARLJAN',</v>
      </c>
    </row>
    <row r="334" spans="1:12" x14ac:dyDescent="0.25">
      <c r="A334" t="s">
        <v>377</v>
      </c>
      <c r="H334">
        <f t="shared" si="28"/>
        <v>13</v>
      </c>
      <c r="I334" t="str">
        <f t="shared" si="29"/>
        <v xml:space="preserve">    category:</v>
      </c>
      <c r="J334">
        <f t="shared" si="30"/>
        <v>21</v>
      </c>
      <c r="K334" t="str">
        <f t="shared" si="31"/>
        <v>Chairs</v>
      </c>
      <c r="L334" t="str">
        <f t="shared" si="32"/>
        <v xml:space="preserve">    category: 'Chairs',</v>
      </c>
    </row>
    <row r="335" spans="1:12" x14ac:dyDescent="0.25">
      <c r="A335" t="s">
        <v>381</v>
      </c>
      <c r="H335">
        <f t="shared" si="28"/>
        <v>10</v>
      </c>
      <c r="I335" t="str">
        <f t="shared" si="29"/>
        <v xml:space="preserve">    price:</v>
      </c>
      <c r="J335">
        <f t="shared" si="30"/>
        <v>15</v>
      </c>
      <c r="K335" t="str">
        <f t="shared" si="31"/>
        <v>125</v>
      </c>
      <c r="L335" t="str">
        <f t="shared" si="32"/>
        <v xml:space="preserve">    price: '125',</v>
      </c>
    </row>
    <row r="336" spans="1:12" x14ac:dyDescent="0.25">
      <c r="A336" t="s">
        <v>378</v>
      </c>
      <c r="H336">
        <f t="shared" si="28"/>
        <v>16</v>
      </c>
      <c r="I336" t="str">
        <f t="shared" si="29"/>
        <v xml:space="preserve">    description:</v>
      </c>
      <c r="J336">
        <f t="shared" si="30"/>
        <v>23</v>
      </c>
      <c r="K336" t="str">
        <f t="shared" si="31"/>
        <v>Chair</v>
      </c>
      <c r="L336" t="str">
        <f t="shared" si="32"/>
        <v xml:space="preserve">    description: 'Chair',</v>
      </c>
    </row>
    <row r="337" spans="1:12" x14ac:dyDescent="0.25">
      <c r="A337" t="s">
        <v>251</v>
      </c>
      <c r="H337">
        <f t="shared" si="28"/>
        <v>13</v>
      </c>
      <c r="I337" t="str">
        <f t="shared" si="29"/>
        <v xml:space="preserve">    designer:</v>
      </c>
      <c r="J337">
        <f t="shared" si="30"/>
        <v>31</v>
      </c>
      <c r="K337" t="str">
        <f t="shared" si="31"/>
        <v>Francis Cayouett</v>
      </c>
      <c r="L337" t="str">
        <f t="shared" si="32"/>
        <v xml:space="preserve">    designer: 'Francis Cayouett',</v>
      </c>
    </row>
    <row r="338" spans="1:12" x14ac:dyDescent="0.25">
      <c r="A338" t="s">
        <v>522</v>
      </c>
      <c r="H338" t="e">
        <f t="shared" si="28"/>
        <v>#VALUE!</v>
      </c>
      <c r="I338" t="e">
        <f t="shared" si="29"/>
        <v>#VALUE!</v>
      </c>
      <c r="J338">
        <f t="shared" si="30"/>
        <v>4</v>
      </c>
      <c r="K338" t="e">
        <f t="shared" si="31"/>
        <v>#VALUE!</v>
      </c>
      <c r="L338" t="str">
        <f>A338</f>
        <v xml:space="preserve">  },</v>
      </c>
    </row>
    <row r="339" spans="1:12" x14ac:dyDescent="0.25">
      <c r="A339" t="s">
        <v>238</v>
      </c>
      <c r="H339" t="e">
        <f t="shared" si="28"/>
        <v>#VALUE!</v>
      </c>
      <c r="I339" t="e">
        <f t="shared" si="29"/>
        <v>#VALUE!</v>
      </c>
      <c r="J339">
        <f t="shared" si="30"/>
        <v>3</v>
      </c>
      <c r="K339" t="e">
        <f t="shared" si="31"/>
        <v>#VALUE!</v>
      </c>
      <c r="L339" t="str">
        <f>A339</f>
        <v xml:space="preserve">  {</v>
      </c>
    </row>
    <row r="340" spans="1:12" x14ac:dyDescent="0.25">
      <c r="A340" t="s">
        <v>382</v>
      </c>
      <c r="H340">
        <f t="shared" si="28"/>
        <v>9</v>
      </c>
      <c r="I340" t="str">
        <f t="shared" si="29"/>
        <v xml:space="preserve">    guid:</v>
      </c>
      <c r="J340">
        <f t="shared" si="30"/>
        <v>47</v>
      </c>
      <c r="K340" t="str">
        <f t="shared" si="31"/>
        <v>e4213165-fdcd-9298-0114-76abdd7a75a5</v>
      </c>
      <c r="L340" t="str">
        <f t="shared" si="32"/>
        <v xml:space="preserve">    guid: 'e4213165-fdcd-9298-0114-76abdd7a75a5',</v>
      </c>
    </row>
    <row r="341" spans="1:12" x14ac:dyDescent="0.25">
      <c r="A341" t="s">
        <v>383</v>
      </c>
      <c r="H341">
        <f t="shared" si="28"/>
        <v>9</v>
      </c>
      <c r="I341" t="str">
        <f t="shared" si="29"/>
        <v xml:space="preserve">    name:</v>
      </c>
      <c r="J341">
        <f t="shared" si="30"/>
        <v>22</v>
      </c>
      <c r="K341" t="str">
        <f t="shared" si="31"/>
        <v>BLECKBERGET</v>
      </c>
      <c r="L341" t="str">
        <f t="shared" si="32"/>
        <v xml:space="preserve">    name: 'BLECKBERGET',</v>
      </c>
    </row>
    <row r="342" spans="1:12" x14ac:dyDescent="0.25">
      <c r="A342" t="s">
        <v>377</v>
      </c>
      <c r="H342">
        <f t="shared" si="28"/>
        <v>13</v>
      </c>
      <c r="I342" t="str">
        <f t="shared" si="29"/>
        <v xml:space="preserve">    category:</v>
      </c>
      <c r="J342">
        <f t="shared" si="30"/>
        <v>21</v>
      </c>
      <c r="K342" t="str">
        <f t="shared" si="31"/>
        <v>Chairs</v>
      </c>
      <c r="L342" t="str">
        <f t="shared" si="32"/>
        <v xml:space="preserve">    category: 'Chairs',</v>
      </c>
    </row>
    <row r="343" spans="1:12" x14ac:dyDescent="0.25">
      <c r="A343" t="s">
        <v>344</v>
      </c>
      <c r="H343">
        <f t="shared" si="28"/>
        <v>10</v>
      </c>
      <c r="I343" t="str">
        <f t="shared" si="29"/>
        <v xml:space="preserve">    price:</v>
      </c>
      <c r="J343">
        <f t="shared" si="30"/>
        <v>15</v>
      </c>
      <c r="K343" t="str">
        <f t="shared" si="31"/>
        <v>250</v>
      </c>
      <c r="L343" t="str">
        <f t="shared" si="32"/>
        <v xml:space="preserve">    price: '250',</v>
      </c>
    </row>
    <row r="344" spans="1:12" x14ac:dyDescent="0.25">
      <c r="A344" t="s">
        <v>384</v>
      </c>
      <c r="H344">
        <f t="shared" si="28"/>
        <v>16</v>
      </c>
      <c r="I344" t="str">
        <f t="shared" si="29"/>
        <v xml:space="preserve">    description:</v>
      </c>
      <c r="J344">
        <f t="shared" si="30"/>
        <v>30</v>
      </c>
      <c r="K344" t="str">
        <f t="shared" si="31"/>
        <v>Swivel chair</v>
      </c>
      <c r="L344" t="str">
        <f t="shared" si="32"/>
        <v xml:space="preserve">    description: 'Swivel chair',</v>
      </c>
    </row>
    <row r="345" spans="1:12" x14ac:dyDescent="0.25">
      <c r="A345" t="s">
        <v>251</v>
      </c>
      <c r="H345">
        <f t="shared" si="28"/>
        <v>13</v>
      </c>
      <c r="I345" t="str">
        <f t="shared" si="29"/>
        <v xml:space="preserve">    designer:</v>
      </c>
      <c r="J345">
        <f t="shared" si="30"/>
        <v>31</v>
      </c>
      <c r="K345" t="str">
        <f t="shared" si="31"/>
        <v>Francis Cayouett</v>
      </c>
      <c r="L345" t="str">
        <f t="shared" si="32"/>
        <v xml:space="preserve">    designer: 'Francis Cayouett',</v>
      </c>
    </row>
    <row r="346" spans="1:12" x14ac:dyDescent="0.25">
      <c r="A346" t="s">
        <v>522</v>
      </c>
      <c r="H346" t="e">
        <f t="shared" si="28"/>
        <v>#VALUE!</v>
      </c>
      <c r="I346" t="e">
        <f t="shared" si="29"/>
        <v>#VALUE!</v>
      </c>
      <c r="J346">
        <f t="shared" si="30"/>
        <v>4</v>
      </c>
      <c r="K346" t="e">
        <f t="shared" si="31"/>
        <v>#VALUE!</v>
      </c>
      <c r="L346" t="str">
        <f>A346</f>
        <v xml:space="preserve">  },</v>
      </c>
    </row>
    <row r="347" spans="1:12" x14ac:dyDescent="0.25">
      <c r="A347" t="s">
        <v>238</v>
      </c>
      <c r="H347" t="e">
        <f t="shared" si="28"/>
        <v>#VALUE!</v>
      </c>
      <c r="I347" t="e">
        <f t="shared" si="29"/>
        <v>#VALUE!</v>
      </c>
      <c r="J347">
        <f t="shared" si="30"/>
        <v>3</v>
      </c>
      <c r="K347" t="e">
        <f t="shared" si="31"/>
        <v>#VALUE!</v>
      </c>
      <c r="L347" t="str">
        <f>A347</f>
        <v xml:space="preserve">  {</v>
      </c>
    </row>
    <row r="348" spans="1:12" x14ac:dyDescent="0.25">
      <c r="A348" t="s">
        <v>385</v>
      </c>
      <c r="H348">
        <f t="shared" si="28"/>
        <v>9</v>
      </c>
      <c r="I348" t="str">
        <f t="shared" si="29"/>
        <v xml:space="preserve">    guid:</v>
      </c>
      <c r="J348">
        <f t="shared" si="30"/>
        <v>47</v>
      </c>
      <c r="K348" t="str">
        <f t="shared" si="31"/>
        <v>6769c815-2918-25ef-f841-72bea3874047</v>
      </c>
      <c r="L348" t="str">
        <f t="shared" si="32"/>
        <v xml:space="preserve">    guid: '6769c815-2918-25ef-f841-72bea3874047',</v>
      </c>
    </row>
    <row r="349" spans="1:12" x14ac:dyDescent="0.25">
      <c r="A349" t="s">
        <v>386</v>
      </c>
      <c r="H349">
        <f t="shared" si="28"/>
        <v>9</v>
      </c>
      <c r="I349" t="str">
        <f t="shared" si="29"/>
        <v xml:space="preserve">    name:</v>
      </c>
      <c r="J349">
        <f t="shared" si="30"/>
        <v>17</v>
      </c>
      <c r="K349" t="str">
        <f t="shared" si="31"/>
        <v>REMSTA</v>
      </c>
      <c r="L349" t="str">
        <f t="shared" si="32"/>
        <v xml:space="preserve">    name: 'REMSTA',</v>
      </c>
    </row>
    <row r="350" spans="1:12" x14ac:dyDescent="0.25">
      <c r="A350" t="s">
        <v>377</v>
      </c>
      <c r="H350">
        <f t="shared" si="28"/>
        <v>13</v>
      </c>
      <c r="I350" t="str">
        <f t="shared" si="29"/>
        <v xml:space="preserve">    category:</v>
      </c>
      <c r="J350">
        <f t="shared" si="30"/>
        <v>21</v>
      </c>
      <c r="K350" t="str">
        <f t="shared" si="31"/>
        <v>Chairs</v>
      </c>
      <c r="L350" t="str">
        <f t="shared" si="32"/>
        <v xml:space="preserve">    category: 'Chairs',</v>
      </c>
    </row>
    <row r="351" spans="1:12" x14ac:dyDescent="0.25">
      <c r="A351" t="s">
        <v>289</v>
      </c>
      <c r="H351">
        <f t="shared" si="28"/>
        <v>10</v>
      </c>
      <c r="I351" t="str">
        <f t="shared" si="29"/>
        <v xml:space="preserve">    price:</v>
      </c>
      <c r="J351">
        <f t="shared" si="30"/>
        <v>15</v>
      </c>
      <c r="K351" t="str">
        <f t="shared" si="31"/>
        <v>795</v>
      </c>
      <c r="L351" t="str">
        <f t="shared" si="32"/>
        <v xml:space="preserve">    price: '795',</v>
      </c>
    </row>
    <row r="352" spans="1:12" x14ac:dyDescent="0.25">
      <c r="A352" t="s">
        <v>387</v>
      </c>
      <c r="H352">
        <f t="shared" si="28"/>
        <v>16</v>
      </c>
      <c r="I352" t="str">
        <f t="shared" si="29"/>
        <v xml:space="preserve">    description:</v>
      </c>
      <c r="J352">
        <f t="shared" si="30"/>
        <v>26</v>
      </c>
      <c r="K352" t="str">
        <f t="shared" si="31"/>
        <v>Armchair</v>
      </c>
      <c r="L352" t="str">
        <f t="shared" si="32"/>
        <v xml:space="preserve">    description: 'Armchair',</v>
      </c>
    </row>
    <row r="353" spans="1:12" x14ac:dyDescent="0.25">
      <c r="A353" t="s">
        <v>341</v>
      </c>
      <c r="H353">
        <f t="shared" si="28"/>
        <v>13</v>
      </c>
      <c r="I353" t="str">
        <f t="shared" si="29"/>
        <v xml:space="preserve">    designer:</v>
      </c>
      <c r="J353">
        <f t="shared" si="30"/>
        <v>28</v>
      </c>
      <c r="K353" t="str">
        <f t="shared" si="31"/>
        <v>IKEA of Swede</v>
      </c>
      <c r="L353" t="str">
        <f t="shared" si="32"/>
        <v xml:space="preserve">    designer: 'IKEA of Swede',</v>
      </c>
    </row>
    <row r="354" spans="1:12" x14ac:dyDescent="0.25">
      <c r="A354" t="s">
        <v>522</v>
      </c>
      <c r="H354" t="e">
        <f t="shared" si="28"/>
        <v>#VALUE!</v>
      </c>
      <c r="I354" t="e">
        <f t="shared" si="29"/>
        <v>#VALUE!</v>
      </c>
      <c r="J354">
        <f t="shared" si="30"/>
        <v>4</v>
      </c>
      <c r="K354" t="e">
        <f t="shared" si="31"/>
        <v>#VALUE!</v>
      </c>
      <c r="L354" t="str">
        <f>A354</f>
        <v xml:space="preserve">  },</v>
      </c>
    </row>
    <row r="355" spans="1:12" x14ac:dyDescent="0.25">
      <c r="A355" t="s">
        <v>238</v>
      </c>
      <c r="H355" t="e">
        <f t="shared" si="28"/>
        <v>#VALUE!</v>
      </c>
      <c r="I355" t="e">
        <f t="shared" si="29"/>
        <v>#VALUE!</v>
      </c>
      <c r="J355">
        <f t="shared" si="30"/>
        <v>3</v>
      </c>
      <c r="K355" t="e">
        <f t="shared" si="31"/>
        <v>#VALUE!</v>
      </c>
      <c r="L355" t="str">
        <f>A355</f>
        <v xml:space="preserve">  {</v>
      </c>
    </row>
    <row r="356" spans="1:12" x14ac:dyDescent="0.25">
      <c r="A356" t="s">
        <v>388</v>
      </c>
      <c r="H356">
        <f t="shared" si="28"/>
        <v>9</v>
      </c>
      <c r="I356" t="str">
        <f t="shared" si="29"/>
        <v xml:space="preserve">    guid:</v>
      </c>
      <c r="J356">
        <f t="shared" si="30"/>
        <v>47</v>
      </c>
      <c r="K356" t="str">
        <f t="shared" si="31"/>
        <v>a69c4057-b654-170e-c86f-a086886633dd</v>
      </c>
      <c r="L356" t="str">
        <f t="shared" si="32"/>
        <v xml:space="preserve">    guid: 'a69c4057-b654-170e-c86f-a086886633dd',</v>
      </c>
    </row>
    <row r="357" spans="1:12" x14ac:dyDescent="0.25">
      <c r="A357" t="s">
        <v>389</v>
      </c>
      <c r="H357">
        <f t="shared" si="28"/>
        <v>9</v>
      </c>
      <c r="I357" t="str">
        <f t="shared" si="29"/>
        <v xml:space="preserve">    name:</v>
      </c>
      <c r="J357">
        <f t="shared" si="30"/>
        <v>20</v>
      </c>
      <c r="K357" t="str">
        <f t="shared" si="31"/>
        <v>STOCKSUND</v>
      </c>
      <c r="L357" t="str">
        <f t="shared" si="32"/>
        <v xml:space="preserve">    name: 'STOCKSUND',</v>
      </c>
    </row>
    <row r="358" spans="1:12" x14ac:dyDescent="0.25">
      <c r="A358" t="s">
        <v>377</v>
      </c>
      <c r="H358">
        <f t="shared" si="28"/>
        <v>13</v>
      </c>
      <c r="I358" t="str">
        <f t="shared" si="29"/>
        <v xml:space="preserve">    category:</v>
      </c>
      <c r="J358">
        <f t="shared" si="30"/>
        <v>21</v>
      </c>
      <c r="K358" t="str">
        <f t="shared" si="31"/>
        <v>Chairs</v>
      </c>
      <c r="L358" t="str">
        <f t="shared" si="32"/>
        <v xml:space="preserve">    category: 'Chairs',</v>
      </c>
    </row>
    <row r="359" spans="1:12" x14ac:dyDescent="0.25">
      <c r="A359" t="s">
        <v>249</v>
      </c>
      <c r="H359">
        <f t="shared" si="28"/>
        <v>10</v>
      </c>
      <c r="I359" t="str">
        <f t="shared" si="29"/>
        <v xml:space="preserve">    price:</v>
      </c>
      <c r="J359">
        <f t="shared" si="30"/>
        <v>15</v>
      </c>
      <c r="K359" t="str">
        <f t="shared" si="31"/>
        <v>995</v>
      </c>
      <c r="L359" t="str">
        <f t="shared" si="32"/>
        <v xml:space="preserve">    price: '995',</v>
      </c>
    </row>
    <row r="360" spans="1:12" x14ac:dyDescent="0.25">
      <c r="A360" t="s">
        <v>390</v>
      </c>
      <c r="H360">
        <f t="shared" si="28"/>
        <v>16</v>
      </c>
      <c r="I360" t="str">
        <f t="shared" si="29"/>
        <v xml:space="preserve">    description:</v>
      </c>
      <c r="J360">
        <f t="shared" si="30"/>
        <v>23</v>
      </c>
      <c r="K360" t="str">
        <f t="shared" si="31"/>
        <v>Bench</v>
      </c>
      <c r="L360" t="str">
        <f t="shared" si="32"/>
        <v xml:space="preserve">    description: 'Bench',</v>
      </c>
    </row>
    <row r="361" spans="1:12" x14ac:dyDescent="0.25">
      <c r="A361" t="s">
        <v>391</v>
      </c>
      <c r="H361">
        <f t="shared" si="28"/>
        <v>13</v>
      </c>
      <c r="I361" t="str">
        <f t="shared" si="29"/>
        <v xml:space="preserve">    designer:</v>
      </c>
      <c r="J361">
        <f t="shared" si="30"/>
        <v>27</v>
      </c>
      <c r="K361" t="str">
        <f t="shared" si="31"/>
        <v>Nike Karlsso</v>
      </c>
      <c r="L361" t="str">
        <f t="shared" si="32"/>
        <v xml:space="preserve">    designer: 'Nike Karlsso',</v>
      </c>
    </row>
    <row r="362" spans="1:12" x14ac:dyDescent="0.25">
      <c r="A362" t="s">
        <v>522</v>
      </c>
      <c r="H362" t="e">
        <f t="shared" si="28"/>
        <v>#VALUE!</v>
      </c>
      <c r="I362" t="e">
        <f t="shared" si="29"/>
        <v>#VALUE!</v>
      </c>
      <c r="J362">
        <f t="shared" si="30"/>
        <v>4</v>
      </c>
      <c r="K362" t="e">
        <f t="shared" si="31"/>
        <v>#VALUE!</v>
      </c>
      <c r="L362" t="str">
        <f>A362</f>
        <v xml:space="preserve">  },</v>
      </c>
    </row>
    <row r="363" spans="1:12" x14ac:dyDescent="0.25">
      <c r="A363" t="s">
        <v>238</v>
      </c>
      <c r="H363" t="e">
        <f t="shared" si="28"/>
        <v>#VALUE!</v>
      </c>
      <c r="I363" t="e">
        <f t="shared" si="29"/>
        <v>#VALUE!</v>
      </c>
      <c r="J363">
        <f t="shared" si="30"/>
        <v>3</v>
      </c>
      <c r="K363" t="e">
        <f t="shared" si="31"/>
        <v>#VALUE!</v>
      </c>
      <c r="L363" t="str">
        <f>A363</f>
        <v xml:space="preserve">  {</v>
      </c>
    </row>
    <row r="364" spans="1:12" x14ac:dyDescent="0.25">
      <c r="A364" t="s">
        <v>392</v>
      </c>
      <c r="H364">
        <f t="shared" si="28"/>
        <v>9</v>
      </c>
      <c r="I364" t="str">
        <f t="shared" si="29"/>
        <v xml:space="preserve">    guid:</v>
      </c>
      <c r="J364">
        <f t="shared" si="30"/>
        <v>47</v>
      </c>
      <c r="K364" t="str">
        <f t="shared" si="31"/>
        <v>ae5a7a1a-ad74-e20d-83ca-df938c684b11</v>
      </c>
      <c r="L364" t="str">
        <f t="shared" si="32"/>
        <v xml:space="preserve">    guid: 'ae5a7a1a-ad74-e20d-83ca-df938c684b11',</v>
      </c>
    </row>
    <row r="365" spans="1:12" x14ac:dyDescent="0.25">
      <c r="A365" t="s">
        <v>267</v>
      </c>
      <c r="H365">
        <f t="shared" si="28"/>
        <v>9</v>
      </c>
      <c r="I365" t="str">
        <f t="shared" si="29"/>
        <v xml:space="preserve">    name:</v>
      </c>
      <c r="J365">
        <f t="shared" si="30"/>
        <v>17</v>
      </c>
      <c r="K365" t="str">
        <f t="shared" si="31"/>
        <v>INGOLF</v>
      </c>
      <c r="L365" t="str">
        <f t="shared" si="32"/>
        <v xml:space="preserve">    name: 'INGOLF',</v>
      </c>
    </row>
    <row r="366" spans="1:12" x14ac:dyDescent="0.25">
      <c r="A366" t="s">
        <v>377</v>
      </c>
      <c r="H366">
        <f t="shared" si="28"/>
        <v>13</v>
      </c>
      <c r="I366" t="str">
        <f t="shared" si="29"/>
        <v xml:space="preserve">    category:</v>
      </c>
      <c r="J366">
        <f t="shared" si="30"/>
        <v>21</v>
      </c>
      <c r="K366" t="str">
        <f t="shared" si="31"/>
        <v>Chairs</v>
      </c>
      <c r="L366" t="str">
        <f t="shared" si="32"/>
        <v xml:space="preserve">    category: 'Chairs',</v>
      </c>
    </row>
    <row r="367" spans="1:12" x14ac:dyDescent="0.25">
      <c r="A367" t="s">
        <v>339</v>
      </c>
      <c r="H367">
        <f t="shared" si="28"/>
        <v>10</v>
      </c>
      <c r="I367" t="str">
        <f t="shared" si="29"/>
        <v xml:space="preserve">    price:</v>
      </c>
      <c r="J367">
        <f t="shared" si="30"/>
        <v>15</v>
      </c>
      <c r="K367" t="str">
        <f t="shared" si="31"/>
        <v>175</v>
      </c>
      <c r="L367" t="str">
        <f t="shared" si="32"/>
        <v xml:space="preserve">    price: '175',</v>
      </c>
    </row>
    <row r="368" spans="1:12" x14ac:dyDescent="0.25">
      <c r="A368" t="s">
        <v>393</v>
      </c>
      <c r="H368">
        <f t="shared" si="28"/>
        <v>16</v>
      </c>
      <c r="I368" t="str">
        <f t="shared" si="29"/>
        <v xml:space="preserve">    description:</v>
      </c>
      <c r="J368">
        <f t="shared" si="30"/>
        <v>23</v>
      </c>
      <c r="K368" t="str">
        <f t="shared" si="31"/>
        <v>Stool</v>
      </c>
      <c r="L368" t="str">
        <f t="shared" si="32"/>
        <v xml:space="preserve">    description: 'Stool',</v>
      </c>
    </row>
    <row r="369" spans="1:12" x14ac:dyDescent="0.25">
      <c r="A369" t="s">
        <v>270</v>
      </c>
      <c r="H369">
        <f t="shared" si="28"/>
        <v>13</v>
      </c>
      <c r="I369" t="str">
        <f t="shared" si="29"/>
        <v xml:space="preserve">    designer:</v>
      </c>
      <c r="J369">
        <f t="shared" si="30"/>
        <v>26</v>
      </c>
      <c r="K369" t="str">
        <f t="shared" si="31"/>
        <v>Carina Beng</v>
      </c>
      <c r="L369" t="str">
        <f t="shared" si="32"/>
        <v xml:space="preserve">    designer: 'Carina Beng',</v>
      </c>
    </row>
    <row r="370" spans="1:12" x14ac:dyDescent="0.25">
      <c r="A370" t="s">
        <v>522</v>
      </c>
      <c r="H370" t="e">
        <f t="shared" si="28"/>
        <v>#VALUE!</v>
      </c>
      <c r="I370" t="e">
        <f t="shared" si="29"/>
        <v>#VALUE!</v>
      </c>
      <c r="J370">
        <f t="shared" si="30"/>
        <v>4</v>
      </c>
      <c r="K370" t="e">
        <f t="shared" si="31"/>
        <v>#VALUE!</v>
      </c>
      <c r="L370" t="str">
        <f>A370</f>
        <v xml:space="preserve">  },</v>
      </c>
    </row>
    <row r="371" spans="1:12" x14ac:dyDescent="0.25">
      <c r="A371" t="s">
        <v>238</v>
      </c>
      <c r="H371" t="e">
        <f t="shared" si="28"/>
        <v>#VALUE!</v>
      </c>
      <c r="I371" t="e">
        <f t="shared" si="29"/>
        <v>#VALUE!</v>
      </c>
      <c r="J371">
        <f t="shared" si="30"/>
        <v>3</v>
      </c>
      <c r="K371" t="e">
        <f t="shared" si="31"/>
        <v>#VALUE!</v>
      </c>
      <c r="L371" t="str">
        <f>A371</f>
        <v xml:space="preserve">  {</v>
      </c>
    </row>
    <row r="372" spans="1:12" x14ac:dyDescent="0.25">
      <c r="A372" t="s">
        <v>394</v>
      </c>
      <c r="H372">
        <f t="shared" si="28"/>
        <v>9</v>
      </c>
      <c r="I372" t="str">
        <f t="shared" si="29"/>
        <v xml:space="preserve">    guid:</v>
      </c>
      <c r="J372">
        <f t="shared" si="30"/>
        <v>47</v>
      </c>
      <c r="K372" t="str">
        <f t="shared" si="31"/>
        <v>75dd7891-8fbf-c8b1-d2ff-58a532a7dce7</v>
      </c>
      <c r="L372" t="str">
        <f t="shared" si="32"/>
        <v xml:space="preserve">    guid: '75dd7891-8fbf-c8b1-d2ff-58a532a7dce7',</v>
      </c>
    </row>
    <row r="373" spans="1:12" x14ac:dyDescent="0.25">
      <c r="A373" t="s">
        <v>395</v>
      </c>
      <c r="H373">
        <f t="shared" si="28"/>
        <v>9</v>
      </c>
      <c r="I373" t="str">
        <f t="shared" si="29"/>
        <v xml:space="preserve">    name:</v>
      </c>
      <c r="J373">
        <f t="shared" si="30"/>
        <v>18</v>
      </c>
      <c r="K373" t="str">
        <f t="shared" si="31"/>
        <v>FLINTAN</v>
      </c>
      <c r="L373" t="str">
        <f t="shared" si="32"/>
        <v xml:space="preserve">    name: 'FLINTAN',</v>
      </c>
    </row>
    <row r="374" spans="1:12" x14ac:dyDescent="0.25">
      <c r="A374" t="s">
        <v>377</v>
      </c>
      <c r="H374">
        <f t="shared" si="28"/>
        <v>13</v>
      </c>
      <c r="I374" t="str">
        <f t="shared" si="29"/>
        <v xml:space="preserve">    category:</v>
      </c>
      <c r="J374">
        <f t="shared" si="30"/>
        <v>21</v>
      </c>
      <c r="K374" t="str">
        <f t="shared" si="31"/>
        <v>Chairs</v>
      </c>
      <c r="L374" t="str">
        <f t="shared" si="32"/>
        <v xml:space="preserve">    category: 'Chairs',</v>
      </c>
    </row>
    <row r="375" spans="1:12" x14ac:dyDescent="0.25">
      <c r="A375" t="s">
        <v>396</v>
      </c>
      <c r="H375">
        <f t="shared" si="28"/>
        <v>10</v>
      </c>
      <c r="I375" t="str">
        <f t="shared" si="29"/>
        <v xml:space="preserve">    price:</v>
      </c>
      <c r="J375">
        <f t="shared" si="30"/>
        <v>15</v>
      </c>
      <c r="K375" t="str">
        <f t="shared" si="31"/>
        <v>245</v>
      </c>
      <c r="L375" t="str">
        <f t="shared" si="32"/>
        <v xml:space="preserve">    price: '245',</v>
      </c>
    </row>
    <row r="376" spans="1:12" x14ac:dyDescent="0.25">
      <c r="A376" t="s">
        <v>397</v>
      </c>
      <c r="H376">
        <f t="shared" si="28"/>
        <v>16</v>
      </c>
      <c r="I376" t="str">
        <f t="shared" si="29"/>
        <v xml:space="preserve">    description:</v>
      </c>
      <c r="J376">
        <f t="shared" si="30"/>
        <v>30</v>
      </c>
      <c r="K376" t="str">
        <f t="shared" si="31"/>
        <v>Office chair</v>
      </c>
      <c r="L376" t="str">
        <f t="shared" si="32"/>
        <v xml:space="preserve">    description: 'Office chair',</v>
      </c>
    </row>
    <row r="377" spans="1:12" x14ac:dyDescent="0.25">
      <c r="A377" t="s">
        <v>260</v>
      </c>
      <c r="H377">
        <f t="shared" si="28"/>
        <v>13</v>
      </c>
      <c r="I377" t="str">
        <f t="shared" si="29"/>
        <v xml:space="preserve">    designer:</v>
      </c>
      <c r="J377">
        <f t="shared" si="30"/>
        <v>27</v>
      </c>
      <c r="K377" t="str">
        <f t="shared" si="31"/>
        <v>Henrik Preut</v>
      </c>
      <c r="L377" t="str">
        <f t="shared" si="32"/>
        <v xml:space="preserve">    designer: 'Henrik Preut',</v>
      </c>
    </row>
    <row r="378" spans="1:12" x14ac:dyDescent="0.25">
      <c r="A378" t="s">
        <v>522</v>
      </c>
      <c r="H378" t="e">
        <f t="shared" si="28"/>
        <v>#VALUE!</v>
      </c>
      <c r="I378" t="e">
        <f t="shared" si="29"/>
        <v>#VALUE!</v>
      </c>
      <c r="J378">
        <f t="shared" si="30"/>
        <v>4</v>
      </c>
      <c r="K378" t="e">
        <f t="shared" si="31"/>
        <v>#VALUE!</v>
      </c>
      <c r="L378" t="str">
        <f>A378</f>
        <v xml:space="preserve">  },</v>
      </c>
    </row>
    <row r="379" spans="1:12" x14ac:dyDescent="0.25">
      <c r="A379" t="s">
        <v>238</v>
      </c>
      <c r="H379" t="e">
        <f t="shared" si="28"/>
        <v>#VALUE!</v>
      </c>
      <c r="I379" t="e">
        <f t="shared" si="29"/>
        <v>#VALUE!</v>
      </c>
      <c r="J379">
        <f t="shared" si="30"/>
        <v>3</v>
      </c>
      <c r="K379" t="e">
        <f t="shared" si="31"/>
        <v>#VALUE!</v>
      </c>
      <c r="L379" t="str">
        <f>A379</f>
        <v xml:space="preserve">  {</v>
      </c>
    </row>
    <row r="380" spans="1:12" x14ac:dyDescent="0.25">
      <c r="A380" t="s">
        <v>398</v>
      </c>
      <c r="H380">
        <f t="shared" si="28"/>
        <v>9</v>
      </c>
      <c r="I380" t="str">
        <f t="shared" si="29"/>
        <v xml:space="preserve">    guid:</v>
      </c>
      <c r="J380">
        <f t="shared" si="30"/>
        <v>47</v>
      </c>
      <c r="K380" t="str">
        <f t="shared" si="31"/>
        <v>f017451a-59c7-81b2-cdc0-87aaeed41d98</v>
      </c>
      <c r="L380" t="str">
        <f t="shared" si="32"/>
        <v xml:space="preserve">    guid: 'f017451a-59c7-81b2-cdc0-87aaeed41d98',</v>
      </c>
    </row>
    <row r="381" spans="1:12" x14ac:dyDescent="0.25">
      <c r="A381" t="s">
        <v>399</v>
      </c>
      <c r="H381">
        <f t="shared" si="28"/>
        <v>9</v>
      </c>
      <c r="I381" t="str">
        <f t="shared" si="29"/>
        <v xml:space="preserve">    name:</v>
      </c>
      <c r="J381">
        <f t="shared" si="30"/>
        <v>29</v>
      </c>
      <c r="K381" t="str">
        <f t="shared" si="31"/>
        <v>IKEA PS GULLHOLMEN</v>
      </c>
      <c r="L381" t="str">
        <f t="shared" si="32"/>
        <v xml:space="preserve">    name: 'IKEA PS GULLHOLMEN',</v>
      </c>
    </row>
    <row r="382" spans="1:12" x14ac:dyDescent="0.25">
      <c r="A382" t="s">
        <v>377</v>
      </c>
      <c r="H382">
        <f t="shared" si="28"/>
        <v>13</v>
      </c>
      <c r="I382" t="str">
        <f t="shared" si="29"/>
        <v xml:space="preserve">    category:</v>
      </c>
      <c r="J382">
        <f t="shared" si="30"/>
        <v>21</v>
      </c>
      <c r="K382" t="str">
        <f t="shared" si="31"/>
        <v>Chairs</v>
      </c>
      <c r="L382" t="str">
        <f t="shared" si="32"/>
        <v xml:space="preserve">    category: 'Chairs',</v>
      </c>
    </row>
    <row r="383" spans="1:12" x14ac:dyDescent="0.25">
      <c r="A383" t="s">
        <v>353</v>
      </c>
      <c r="H383">
        <f t="shared" si="28"/>
        <v>10</v>
      </c>
      <c r="I383" t="str">
        <f t="shared" si="29"/>
        <v xml:space="preserve">    price:</v>
      </c>
      <c r="J383">
        <f t="shared" si="30"/>
        <v>15</v>
      </c>
      <c r="K383" t="str">
        <f t="shared" si="31"/>
        <v>295</v>
      </c>
      <c r="L383" t="str">
        <f t="shared" si="32"/>
        <v xml:space="preserve">    price: '295',</v>
      </c>
    </row>
    <row r="384" spans="1:12" x14ac:dyDescent="0.25">
      <c r="A384" t="s">
        <v>400</v>
      </c>
      <c r="H384">
        <f t="shared" si="28"/>
        <v>16</v>
      </c>
      <c r="I384" t="str">
        <f t="shared" si="29"/>
        <v xml:space="preserve">    description:</v>
      </c>
      <c r="J384">
        <f t="shared" si="30"/>
        <v>31</v>
      </c>
      <c r="K384" t="str">
        <f t="shared" si="31"/>
        <v>Rocking-chair</v>
      </c>
      <c r="L384" t="str">
        <f t="shared" si="32"/>
        <v xml:space="preserve">    description: 'Rocking-chair',</v>
      </c>
    </row>
    <row r="385" spans="1:12" x14ac:dyDescent="0.25">
      <c r="A385" t="s">
        <v>401</v>
      </c>
      <c r="H385">
        <f t="shared" si="28"/>
        <v>13</v>
      </c>
      <c r="I385" t="str">
        <f t="shared" si="29"/>
        <v xml:space="preserve">    designer:</v>
      </c>
      <c r="J385">
        <f t="shared" si="30"/>
        <v>25</v>
      </c>
      <c r="K385" t="str">
        <f t="shared" si="31"/>
        <v>Maria Vink</v>
      </c>
      <c r="L385" t="str">
        <f t="shared" si="32"/>
        <v xml:space="preserve">    designer: 'Maria Vink',</v>
      </c>
    </row>
    <row r="386" spans="1:12" x14ac:dyDescent="0.25">
      <c r="A386" t="s">
        <v>522</v>
      </c>
      <c r="H386" t="e">
        <f t="shared" si="28"/>
        <v>#VALUE!</v>
      </c>
      <c r="I386" t="e">
        <f t="shared" si="29"/>
        <v>#VALUE!</v>
      </c>
      <c r="J386">
        <f t="shared" si="30"/>
        <v>4</v>
      </c>
      <c r="K386" t="e">
        <f t="shared" si="31"/>
        <v>#VALUE!</v>
      </c>
      <c r="L386" t="str">
        <f>A386</f>
        <v xml:space="preserve">  },</v>
      </c>
    </row>
    <row r="387" spans="1:12" x14ac:dyDescent="0.25">
      <c r="A387" t="s">
        <v>238</v>
      </c>
      <c r="H387" t="e">
        <f t="shared" si="28"/>
        <v>#VALUE!</v>
      </c>
      <c r="I387" t="e">
        <f t="shared" si="29"/>
        <v>#VALUE!</v>
      </c>
      <c r="J387">
        <f t="shared" si="30"/>
        <v>3</v>
      </c>
      <c r="K387" t="e">
        <f t="shared" si="31"/>
        <v>#VALUE!</v>
      </c>
      <c r="L387" t="str">
        <f>A387</f>
        <v xml:space="preserve">  {</v>
      </c>
    </row>
    <row r="388" spans="1:12" x14ac:dyDescent="0.25">
      <c r="A388" t="s">
        <v>402</v>
      </c>
      <c r="H388">
        <f t="shared" si="28"/>
        <v>9</v>
      </c>
      <c r="I388" t="str">
        <f t="shared" si="29"/>
        <v xml:space="preserve">    guid:</v>
      </c>
      <c r="J388">
        <f t="shared" si="30"/>
        <v>47</v>
      </c>
      <c r="K388" t="str">
        <f t="shared" si="31"/>
        <v>d0b90cb1-b127-2127-2ec3-76762d0df2f6</v>
      </c>
      <c r="L388" t="str">
        <f t="shared" si="32"/>
        <v xml:space="preserve">    guid: 'd0b90cb1-b127-2127-2ec3-76762d0df2f6',</v>
      </c>
    </row>
    <row r="389" spans="1:12" x14ac:dyDescent="0.25">
      <c r="A389" t="s">
        <v>403</v>
      </c>
      <c r="H389">
        <f t="shared" ref="H389:H452" si="33">SEARCH(":",A389)</f>
        <v>9</v>
      </c>
      <c r="I389" t="str">
        <f t="shared" ref="I389:I452" si="34">LOWER(LEFT(A389,H389))</f>
        <v xml:space="preserve">    name:</v>
      </c>
      <c r="J389">
        <f t="shared" ref="J389:J452" si="35">LEN(A389)</f>
        <v>17</v>
      </c>
      <c r="K389" t="str">
        <f t="shared" ref="K389:K452" si="36">MID(A389,H389+2,J389-H389-2)</f>
        <v>MARKUS</v>
      </c>
      <c r="L389" t="str">
        <f t="shared" ref="L389:L452" si="37">_xlfn.CONCAT(I389," '",K389,"'",",")</f>
        <v xml:space="preserve">    name: 'MARKUS',</v>
      </c>
    </row>
    <row r="390" spans="1:12" x14ac:dyDescent="0.25">
      <c r="A390" t="s">
        <v>377</v>
      </c>
      <c r="H390">
        <f t="shared" si="33"/>
        <v>13</v>
      </c>
      <c r="I390" t="str">
        <f t="shared" si="34"/>
        <v xml:space="preserve">    category:</v>
      </c>
      <c r="J390">
        <f t="shared" si="35"/>
        <v>21</v>
      </c>
      <c r="K390" t="str">
        <f t="shared" si="36"/>
        <v>Chairs</v>
      </c>
      <c r="L390" t="str">
        <f t="shared" si="37"/>
        <v xml:space="preserve">    category: 'Chairs',</v>
      </c>
    </row>
    <row r="391" spans="1:12" x14ac:dyDescent="0.25">
      <c r="A391" t="s">
        <v>289</v>
      </c>
      <c r="H391">
        <f t="shared" si="33"/>
        <v>10</v>
      </c>
      <c r="I391" t="str">
        <f t="shared" si="34"/>
        <v xml:space="preserve">    price:</v>
      </c>
      <c r="J391">
        <f t="shared" si="35"/>
        <v>15</v>
      </c>
      <c r="K391" t="str">
        <f t="shared" si="36"/>
        <v>795</v>
      </c>
      <c r="L391" t="str">
        <f t="shared" si="37"/>
        <v xml:space="preserve">    price: '795',</v>
      </c>
    </row>
    <row r="392" spans="1:12" x14ac:dyDescent="0.25">
      <c r="A392" t="s">
        <v>397</v>
      </c>
      <c r="H392">
        <f t="shared" si="33"/>
        <v>16</v>
      </c>
      <c r="I392" t="str">
        <f t="shared" si="34"/>
        <v xml:space="preserve">    description:</v>
      </c>
      <c r="J392">
        <f t="shared" si="35"/>
        <v>30</v>
      </c>
      <c r="K392" t="str">
        <f t="shared" si="36"/>
        <v>Office chair</v>
      </c>
      <c r="L392" t="str">
        <f t="shared" si="37"/>
        <v xml:space="preserve">    description: 'Office chair',</v>
      </c>
    </row>
    <row r="393" spans="1:12" x14ac:dyDescent="0.25">
      <c r="A393" t="s">
        <v>260</v>
      </c>
      <c r="H393">
        <f t="shared" si="33"/>
        <v>13</v>
      </c>
      <c r="I393" t="str">
        <f t="shared" si="34"/>
        <v xml:space="preserve">    designer:</v>
      </c>
      <c r="J393">
        <f t="shared" si="35"/>
        <v>27</v>
      </c>
      <c r="K393" t="str">
        <f t="shared" si="36"/>
        <v>Henrik Preut</v>
      </c>
      <c r="L393" t="str">
        <f t="shared" si="37"/>
        <v xml:space="preserve">    designer: 'Henrik Preut',</v>
      </c>
    </row>
    <row r="394" spans="1:12" x14ac:dyDescent="0.25">
      <c r="A394" t="s">
        <v>522</v>
      </c>
      <c r="H394" t="e">
        <f t="shared" si="33"/>
        <v>#VALUE!</v>
      </c>
      <c r="I394" t="e">
        <f t="shared" si="34"/>
        <v>#VALUE!</v>
      </c>
      <c r="J394">
        <f t="shared" si="35"/>
        <v>4</v>
      </c>
      <c r="K394" t="e">
        <f t="shared" si="36"/>
        <v>#VALUE!</v>
      </c>
      <c r="L394" t="str">
        <f>A394</f>
        <v xml:space="preserve">  },</v>
      </c>
    </row>
    <row r="395" spans="1:12" x14ac:dyDescent="0.25">
      <c r="A395" t="s">
        <v>238</v>
      </c>
      <c r="H395" t="e">
        <f t="shared" si="33"/>
        <v>#VALUE!</v>
      </c>
      <c r="I395" t="e">
        <f t="shared" si="34"/>
        <v>#VALUE!</v>
      </c>
      <c r="J395">
        <f t="shared" si="35"/>
        <v>3</v>
      </c>
      <c r="K395" t="e">
        <f t="shared" si="36"/>
        <v>#VALUE!</v>
      </c>
      <c r="L395" t="str">
        <f>A395</f>
        <v xml:space="preserve">  {</v>
      </c>
    </row>
    <row r="396" spans="1:12" x14ac:dyDescent="0.25">
      <c r="A396" t="s">
        <v>404</v>
      </c>
      <c r="H396">
        <f t="shared" si="33"/>
        <v>9</v>
      </c>
      <c r="I396" t="str">
        <f t="shared" si="34"/>
        <v xml:space="preserve">    guid:</v>
      </c>
      <c r="J396">
        <f t="shared" si="35"/>
        <v>47</v>
      </c>
      <c r="K396" t="str">
        <f t="shared" si="36"/>
        <v>c8dab26b-6a08-4906-e295-f336e57236ef</v>
      </c>
      <c r="L396" t="str">
        <f t="shared" si="37"/>
        <v xml:space="preserve">    guid: 'c8dab26b-6a08-4906-e295-f336e57236ef',</v>
      </c>
    </row>
    <row r="397" spans="1:12" x14ac:dyDescent="0.25">
      <c r="A397" t="s">
        <v>405</v>
      </c>
      <c r="H397">
        <f t="shared" si="33"/>
        <v>9</v>
      </c>
      <c r="I397" t="str">
        <f t="shared" si="34"/>
        <v xml:space="preserve">    name:</v>
      </c>
      <c r="J397">
        <f t="shared" si="35"/>
        <v>17</v>
      </c>
      <c r="K397" t="str">
        <f t="shared" si="36"/>
        <v>BEKVAM</v>
      </c>
      <c r="L397" t="str">
        <f t="shared" si="37"/>
        <v xml:space="preserve">    name: 'BEKVAM',</v>
      </c>
    </row>
    <row r="398" spans="1:12" x14ac:dyDescent="0.25">
      <c r="A398" t="s">
        <v>377</v>
      </c>
      <c r="H398">
        <f t="shared" si="33"/>
        <v>13</v>
      </c>
      <c r="I398" t="str">
        <f t="shared" si="34"/>
        <v xml:space="preserve">    category:</v>
      </c>
      <c r="J398">
        <f t="shared" si="35"/>
        <v>21</v>
      </c>
      <c r="K398" t="str">
        <f t="shared" si="36"/>
        <v>Chairs</v>
      </c>
      <c r="L398" t="str">
        <f t="shared" si="37"/>
        <v xml:space="preserve">    category: 'Chairs',</v>
      </c>
    </row>
    <row r="399" spans="1:12" x14ac:dyDescent="0.25">
      <c r="A399" t="s">
        <v>406</v>
      </c>
      <c r="H399">
        <f t="shared" si="33"/>
        <v>10</v>
      </c>
      <c r="I399" t="str">
        <f t="shared" si="34"/>
        <v xml:space="preserve">    price:</v>
      </c>
      <c r="J399">
        <f t="shared" si="35"/>
        <v>14</v>
      </c>
      <c r="K399" t="str">
        <f t="shared" si="36"/>
        <v>59</v>
      </c>
      <c r="L399" t="str">
        <f t="shared" si="37"/>
        <v xml:space="preserve">    price: '59',</v>
      </c>
    </row>
    <row r="400" spans="1:12" x14ac:dyDescent="0.25">
      <c r="A400" t="s">
        <v>407</v>
      </c>
      <c r="H400">
        <f t="shared" si="33"/>
        <v>16</v>
      </c>
      <c r="I400" t="str">
        <f t="shared" si="34"/>
        <v xml:space="preserve">    description:</v>
      </c>
      <c r="J400">
        <f t="shared" si="35"/>
        <v>35</v>
      </c>
      <c r="K400" t="str">
        <f t="shared" si="36"/>
        <v>Step stool, 50 cm</v>
      </c>
      <c r="L400" t="str">
        <f t="shared" si="37"/>
        <v xml:space="preserve">    description: 'Step stool, 50 cm',</v>
      </c>
    </row>
    <row r="401" spans="1:12" x14ac:dyDescent="0.25">
      <c r="A401" t="s">
        <v>391</v>
      </c>
      <c r="H401">
        <f t="shared" si="33"/>
        <v>13</v>
      </c>
      <c r="I401" t="str">
        <f t="shared" si="34"/>
        <v xml:space="preserve">    designer:</v>
      </c>
      <c r="J401">
        <f t="shared" si="35"/>
        <v>27</v>
      </c>
      <c r="K401" t="str">
        <f t="shared" si="36"/>
        <v>Nike Karlsso</v>
      </c>
      <c r="L401" t="str">
        <f t="shared" si="37"/>
        <v xml:space="preserve">    designer: 'Nike Karlsso',</v>
      </c>
    </row>
    <row r="402" spans="1:12" x14ac:dyDescent="0.25">
      <c r="A402" t="s">
        <v>522</v>
      </c>
      <c r="H402" t="e">
        <f t="shared" si="33"/>
        <v>#VALUE!</v>
      </c>
      <c r="I402" t="e">
        <f t="shared" si="34"/>
        <v>#VALUE!</v>
      </c>
      <c r="J402">
        <f t="shared" si="35"/>
        <v>4</v>
      </c>
      <c r="K402" t="e">
        <f t="shared" si="36"/>
        <v>#VALUE!</v>
      </c>
      <c r="L402" t="str">
        <f>A402</f>
        <v xml:space="preserve">  },</v>
      </c>
    </row>
    <row r="403" spans="1:12" x14ac:dyDescent="0.25">
      <c r="A403" t="s">
        <v>238</v>
      </c>
      <c r="H403" t="e">
        <f t="shared" si="33"/>
        <v>#VALUE!</v>
      </c>
      <c r="I403" t="e">
        <f t="shared" si="34"/>
        <v>#VALUE!</v>
      </c>
      <c r="J403">
        <f t="shared" si="35"/>
        <v>3</v>
      </c>
      <c r="K403" t="e">
        <f t="shared" si="36"/>
        <v>#VALUE!</v>
      </c>
      <c r="L403" t="str">
        <f>A403</f>
        <v xml:space="preserve">  {</v>
      </c>
    </row>
    <row r="404" spans="1:12" x14ac:dyDescent="0.25">
      <c r="A404" t="s">
        <v>408</v>
      </c>
      <c r="H404">
        <f t="shared" si="33"/>
        <v>9</v>
      </c>
      <c r="I404" t="str">
        <f t="shared" si="34"/>
        <v xml:space="preserve">    guid:</v>
      </c>
      <c r="J404">
        <f t="shared" si="35"/>
        <v>47</v>
      </c>
      <c r="K404" t="str">
        <f t="shared" si="36"/>
        <v>34d8f0f3-1652-f249-d950-f2cda79f9ec3</v>
      </c>
      <c r="L404" t="str">
        <f t="shared" si="37"/>
        <v xml:space="preserve">    guid: '34d8f0f3-1652-f249-d950-f2cda79f9ec3',</v>
      </c>
    </row>
    <row r="405" spans="1:12" x14ac:dyDescent="0.25">
      <c r="A405" t="s">
        <v>409</v>
      </c>
      <c r="H405">
        <f t="shared" si="33"/>
        <v>9</v>
      </c>
      <c r="I405" t="str">
        <f t="shared" si="34"/>
        <v xml:space="preserve">    name:</v>
      </c>
      <c r="J405">
        <f t="shared" si="35"/>
        <v>18</v>
      </c>
      <c r="K405" t="str">
        <f t="shared" si="36"/>
        <v>JONAXEL</v>
      </c>
      <c r="L405" t="str">
        <f t="shared" si="37"/>
        <v xml:space="preserve">    name: 'JONAXEL',</v>
      </c>
    </row>
    <row r="406" spans="1:12" x14ac:dyDescent="0.25">
      <c r="A406" t="s">
        <v>410</v>
      </c>
      <c r="H406">
        <f t="shared" si="33"/>
        <v>13</v>
      </c>
      <c r="I406" t="str">
        <f t="shared" si="34"/>
        <v xml:space="preserve">    category:</v>
      </c>
      <c r="J406">
        <f t="shared" si="35"/>
        <v>47</v>
      </c>
      <c r="K406" t="str">
        <f t="shared" si="36"/>
        <v>Chests of drawers &amp; drawer units</v>
      </c>
      <c r="L406" t="str">
        <f t="shared" si="37"/>
        <v xml:space="preserve">    category: 'Chests of drawers &amp; drawer units',</v>
      </c>
    </row>
    <row r="407" spans="1:12" x14ac:dyDescent="0.25">
      <c r="A407" t="s">
        <v>411</v>
      </c>
      <c r="H407">
        <f t="shared" si="33"/>
        <v>10</v>
      </c>
      <c r="I407" t="str">
        <f t="shared" si="34"/>
        <v xml:space="preserve">    price:</v>
      </c>
      <c r="J407">
        <f t="shared" si="35"/>
        <v>15</v>
      </c>
      <c r="K407" t="str">
        <f t="shared" si="36"/>
        <v>135</v>
      </c>
      <c r="L407" t="str">
        <f t="shared" si="37"/>
        <v xml:space="preserve">    price: '135',</v>
      </c>
    </row>
    <row r="408" spans="1:12" x14ac:dyDescent="0.25">
      <c r="A408" t="s">
        <v>412</v>
      </c>
      <c r="H408">
        <f t="shared" si="33"/>
        <v>16</v>
      </c>
      <c r="I408" t="str">
        <f t="shared" si="34"/>
        <v xml:space="preserve">    description:</v>
      </c>
      <c r="J408">
        <f t="shared" si="35"/>
        <v>54</v>
      </c>
      <c r="K408" t="str">
        <f t="shared" si="36"/>
        <v>Frame with mesh baskets, 25x51x70 cm</v>
      </c>
      <c r="L408" t="str">
        <f t="shared" si="37"/>
        <v xml:space="preserve">    description: 'Frame with mesh baskets, 25x51x70 cm',</v>
      </c>
    </row>
    <row r="409" spans="1:12" x14ac:dyDescent="0.25">
      <c r="A409" t="s">
        <v>341</v>
      </c>
      <c r="H409">
        <f t="shared" si="33"/>
        <v>13</v>
      </c>
      <c r="I409" t="str">
        <f t="shared" si="34"/>
        <v xml:space="preserve">    designer:</v>
      </c>
      <c r="J409">
        <f t="shared" si="35"/>
        <v>28</v>
      </c>
      <c r="K409" t="str">
        <f t="shared" si="36"/>
        <v>IKEA of Swede</v>
      </c>
      <c r="L409" t="str">
        <f t="shared" si="37"/>
        <v xml:space="preserve">    designer: 'IKEA of Swede',</v>
      </c>
    </row>
    <row r="410" spans="1:12" x14ac:dyDescent="0.25">
      <c r="A410" t="s">
        <v>522</v>
      </c>
      <c r="H410" t="e">
        <f t="shared" si="33"/>
        <v>#VALUE!</v>
      </c>
      <c r="I410" t="e">
        <f t="shared" si="34"/>
        <v>#VALUE!</v>
      </c>
      <c r="J410">
        <f t="shared" si="35"/>
        <v>4</v>
      </c>
      <c r="K410" t="e">
        <f t="shared" si="36"/>
        <v>#VALUE!</v>
      </c>
      <c r="L410" t="str">
        <f>A410</f>
        <v xml:space="preserve">  },</v>
      </c>
    </row>
    <row r="411" spans="1:12" x14ac:dyDescent="0.25">
      <c r="A411" t="s">
        <v>238</v>
      </c>
      <c r="H411" t="e">
        <f t="shared" si="33"/>
        <v>#VALUE!</v>
      </c>
      <c r="I411" t="e">
        <f t="shared" si="34"/>
        <v>#VALUE!</v>
      </c>
      <c r="J411">
        <f t="shared" si="35"/>
        <v>3</v>
      </c>
      <c r="K411" t="e">
        <f t="shared" si="36"/>
        <v>#VALUE!</v>
      </c>
      <c r="L411" t="str">
        <f>A411</f>
        <v xml:space="preserve">  {</v>
      </c>
    </row>
    <row r="412" spans="1:12" x14ac:dyDescent="0.25">
      <c r="A412" t="s">
        <v>413</v>
      </c>
      <c r="H412">
        <f t="shared" si="33"/>
        <v>9</v>
      </c>
      <c r="I412" t="str">
        <f t="shared" si="34"/>
        <v xml:space="preserve">    guid:</v>
      </c>
      <c r="J412">
        <f t="shared" si="35"/>
        <v>47</v>
      </c>
      <c r="K412" t="str">
        <f t="shared" si="36"/>
        <v>783cb406-038d-1125-a791-7242f7ee157c</v>
      </c>
      <c r="L412" t="str">
        <f t="shared" si="37"/>
        <v xml:space="preserve">    guid: '783cb406-038d-1125-a791-7242f7ee157c',</v>
      </c>
    </row>
    <row r="413" spans="1:12" x14ac:dyDescent="0.25">
      <c r="A413" t="s">
        <v>414</v>
      </c>
      <c r="H413">
        <f t="shared" si="33"/>
        <v>9</v>
      </c>
      <c r="I413" t="str">
        <f t="shared" si="34"/>
        <v xml:space="preserve">    name:</v>
      </c>
      <c r="J413">
        <f t="shared" si="35"/>
        <v>18</v>
      </c>
      <c r="K413" t="str">
        <f t="shared" si="36"/>
        <v>BRYGGJA</v>
      </c>
      <c r="L413" t="str">
        <f t="shared" si="37"/>
        <v xml:space="preserve">    name: 'BRYGGJA',</v>
      </c>
    </row>
    <row r="414" spans="1:12" x14ac:dyDescent="0.25">
      <c r="A414" t="s">
        <v>410</v>
      </c>
      <c r="H414">
        <f t="shared" si="33"/>
        <v>13</v>
      </c>
      <c r="I414" t="str">
        <f t="shared" si="34"/>
        <v xml:space="preserve">    category:</v>
      </c>
      <c r="J414">
        <f t="shared" si="35"/>
        <v>47</v>
      </c>
      <c r="K414" t="str">
        <f t="shared" si="36"/>
        <v>Chests of drawers &amp; drawer units</v>
      </c>
      <c r="L414" t="str">
        <f t="shared" si="37"/>
        <v xml:space="preserve">    category: 'Chests of drawers &amp; drawer units',</v>
      </c>
    </row>
    <row r="415" spans="1:12" x14ac:dyDescent="0.25">
      <c r="A415" t="s">
        <v>415</v>
      </c>
      <c r="H415">
        <f t="shared" si="33"/>
        <v>10</v>
      </c>
      <c r="I415" t="str">
        <f t="shared" si="34"/>
        <v xml:space="preserve">    price:</v>
      </c>
      <c r="J415">
        <f t="shared" si="35"/>
        <v>16</v>
      </c>
      <c r="K415" t="str">
        <f t="shared" si="36"/>
        <v>1295</v>
      </c>
      <c r="L415" t="str">
        <f t="shared" si="37"/>
        <v xml:space="preserve">    price: '1295',</v>
      </c>
    </row>
    <row r="416" spans="1:12" x14ac:dyDescent="0.25">
      <c r="A416" t="s">
        <v>416</v>
      </c>
      <c r="H416">
        <f t="shared" si="33"/>
        <v>16</v>
      </c>
      <c r="I416" t="str">
        <f t="shared" si="34"/>
        <v xml:space="preserve">    description:</v>
      </c>
      <c r="J416">
        <f t="shared" si="35"/>
        <v>47</v>
      </c>
      <c r="K416" t="str">
        <f t="shared" si="36"/>
        <v>Chest of 9 drawers, 118x92 cm</v>
      </c>
      <c r="L416" t="str">
        <f t="shared" si="37"/>
        <v xml:space="preserve">    description: 'Chest of 9 drawers, 118x92 cm',</v>
      </c>
    </row>
    <row r="417" spans="1:12" x14ac:dyDescent="0.25">
      <c r="A417" t="s">
        <v>417</v>
      </c>
      <c r="H417">
        <f t="shared" si="33"/>
        <v>13</v>
      </c>
      <c r="I417" t="str">
        <f t="shared" si="34"/>
        <v xml:space="preserve">    designer:</v>
      </c>
      <c r="J417">
        <f t="shared" si="35"/>
        <v>26</v>
      </c>
      <c r="K417" t="str">
        <f t="shared" si="36"/>
        <v>Ola Wihlbor</v>
      </c>
      <c r="L417" t="str">
        <f t="shared" si="37"/>
        <v xml:space="preserve">    designer: 'Ola Wihlbor',</v>
      </c>
    </row>
    <row r="418" spans="1:12" x14ac:dyDescent="0.25">
      <c r="A418" t="s">
        <v>522</v>
      </c>
      <c r="H418" t="e">
        <f t="shared" si="33"/>
        <v>#VALUE!</v>
      </c>
      <c r="I418" t="e">
        <f t="shared" si="34"/>
        <v>#VALUE!</v>
      </c>
      <c r="J418">
        <f t="shared" si="35"/>
        <v>4</v>
      </c>
      <c r="K418" t="e">
        <f t="shared" si="36"/>
        <v>#VALUE!</v>
      </c>
      <c r="L418" t="str">
        <f>A418</f>
        <v xml:space="preserve">  },</v>
      </c>
    </row>
    <row r="419" spans="1:12" x14ac:dyDescent="0.25">
      <c r="A419" t="s">
        <v>238</v>
      </c>
      <c r="H419" t="e">
        <f t="shared" si="33"/>
        <v>#VALUE!</v>
      </c>
      <c r="I419" t="e">
        <f t="shared" si="34"/>
        <v>#VALUE!</v>
      </c>
      <c r="J419">
        <f t="shared" si="35"/>
        <v>3</v>
      </c>
      <c r="K419" t="e">
        <f t="shared" si="36"/>
        <v>#VALUE!</v>
      </c>
      <c r="L419" t="str">
        <f>A419</f>
        <v xml:space="preserve">  {</v>
      </c>
    </row>
    <row r="420" spans="1:12" x14ac:dyDescent="0.25">
      <c r="A420" t="s">
        <v>418</v>
      </c>
      <c r="H420">
        <f t="shared" si="33"/>
        <v>9</v>
      </c>
      <c r="I420" t="str">
        <f t="shared" si="34"/>
        <v xml:space="preserve">    guid:</v>
      </c>
      <c r="J420">
        <f t="shared" si="35"/>
        <v>47</v>
      </c>
      <c r="K420" t="str">
        <f t="shared" si="36"/>
        <v>71000181-574d-df9e-ae13-9a0f18c74d49</v>
      </c>
      <c r="L420" t="str">
        <f t="shared" si="37"/>
        <v xml:space="preserve">    guid: '71000181-574d-df9e-ae13-9a0f18c74d49',</v>
      </c>
    </row>
    <row r="421" spans="1:12" x14ac:dyDescent="0.25">
      <c r="A421" t="s">
        <v>419</v>
      </c>
      <c r="H421">
        <f t="shared" si="33"/>
        <v>9</v>
      </c>
      <c r="I421" t="str">
        <f t="shared" si="34"/>
        <v xml:space="preserve">    name:</v>
      </c>
      <c r="J421">
        <f t="shared" si="35"/>
        <v>17</v>
      </c>
      <c r="K421" t="str">
        <f t="shared" si="36"/>
        <v>HELMER</v>
      </c>
      <c r="L421" t="str">
        <f t="shared" si="37"/>
        <v xml:space="preserve">    name: 'HELMER',</v>
      </c>
    </row>
    <row r="422" spans="1:12" x14ac:dyDescent="0.25">
      <c r="A422" t="s">
        <v>410</v>
      </c>
      <c r="H422">
        <f t="shared" si="33"/>
        <v>13</v>
      </c>
      <c r="I422" t="str">
        <f t="shared" si="34"/>
        <v xml:space="preserve">    category:</v>
      </c>
      <c r="J422">
        <f t="shared" si="35"/>
        <v>47</v>
      </c>
      <c r="K422" t="str">
        <f t="shared" si="36"/>
        <v>Chests of drawers &amp; drawer units</v>
      </c>
      <c r="L422" t="str">
        <f t="shared" si="37"/>
        <v xml:space="preserve">    category: 'Chests of drawers &amp; drawer units',</v>
      </c>
    </row>
    <row r="423" spans="1:12" x14ac:dyDescent="0.25">
      <c r="A423" t="s">
        <v>339</v>
      </c>
      <c r="H423">
        <f t="shared" si="33"/>
        <v>10</v>
      </c>
      <c r="I423" t="str">
        <f t="shared" si="34"/>
        <v xml:space="preserve">    price:</v>
      </c>
      <c r="J423">
        <f t="shared" si="35"/>
        <v>15</v>
      </c>
      <c r="K423" t="str">
        <f t="shared" si="36"/>
        <v>175</v>
      </c>
      <c r="L423" t="str">
        <f t="shared" si="37"/>
        <v xml:space="preserve">    price: '175',</v>
      </c>
    </row>
    <row r="424" spans="1:12" x14ac:dyDescent="0.25">
      <c r="A424" t="s">
        <v>420</v>
      </c>
      <c r="H424">
        <f t="shared" si="33"/>
        <v>16</v>
      </c>
      <c r="I424" t="str">
        <f t="shared" si="34"/>
        <v xml:space="preserve">    description:</v>
      </c>
      <c r="J424">
        <f t="shared" si="35"/>
        <v>50</v>
      </c>
      <c r="K424" t="str">
        <f t="shared" si="36"/>
        <v>Drawer unit on castors, 28x69 cm</v>
      </c>
      <c r="L424" t="str">
        <f t="shared" si="37"/>
        <v xml:space="preserve">    description: 'Drawer unit on castors, 28x69 cm',</v>
      </c>
    </row>
    <row r="425" spans="1:12" x14ac:dyDescent="0.25">
      <c r="A425" t="s">
        <v>341</v>
      </c>
      <c r="H425">
        <f t="shared" si="33"/>
        <v>13</v>
      </c>
      <c r="I425" t="str">
        <f t="shared" si="34"/>
        <v xml:space="preserve">    designer:</v>
      </c>
      <c r="J425">
        <f t="shared" si="35"/>
        <v>28</v>
      </c>
      <c r="K425" t="str">
        <f t="shared" si="36"/>
        <v>IKEA of Swede</v>
      </c>
      <c r="L425" t="str">
        <f t="shared" si="37"/>
        <v xml:space="preserve">    designer: 'IKEA of Swede',</v>
      </c>
    </row>
    <row r="426" spans="1:12" x14ac:dyDescent="0.25">
      <c r="A426" t="s">
        <v>522</v>
      </c>
      <c r="H426" t="e">
        <f t="shared" si="33"/>
        <v>#VALUE!</v>
      </c>
      <c r="I426" t="e">
        <f t="shared" si="34"/>
        <v>#VALUE!</v>
      </c>
      <c r="J426">
        <f t="shared" si="35"/>
        <v>4</v>
      </c>
      <c r="K426" t="e">
        <f t="shared" si="36"/>
        <v>#VALUE!</v>
      </c>
      <c r="L426" t="str">
        <f>A426</f>
        <v xml:space="preserve">  },</v>
      </c>
    </row>
    <row r="427" spans="1:12" x14ac:dyDescent="0.25">
      <c r="A427" t="s">
        <v>238</v>
      </c>
      <c r="H427" t="e">
        <f t="shared" si="33"/>
        <v>#VALUE!</v>
      </c>
      <c r="I427" t="e">
        <f t="shared" si="34"/>
        <v>#VALUE!</v>
      </c>
      <c r="J427">
        <f t="shared" si="35"/>
        <v>3</v>
      </c>
      <c r="K427" t="e">
        <f t="shared" si="36"/>
        <v>#VALUE!</v>
      </c>
      <c r="L427" t="str">
        <f>A427</f>
        <v xml:space="preserve">  {</v>
      </c>
    </row>
    <row r="428" spans="1:12" x14ac:dyDescent="0.25">
      <c r="A428" t="s">
        <v>421</v>
      </c>
      <c r="H428">
        <f t="shared" si="33"/>
        <v>9</v>
      </c>
      <c r="I428" t="str">
        <f t="shared" si="34"/>
        <v xml:space="preserve">    guid:</v>
      </c>
      <c r="J428">
        <f t="shared" si="35"/>
        <v>47</v>
      </c>
      <c r="K428" t="str">
        <f t="shared" si="36"/>
        <v>b7f71334-9585-f357-1c0e-74887816e8b7</v>
      </c>
      <c r="L428" t="str">
        <f t="shared" si="37"/>
        <v xml:space="preserve">    guid: 'b7f71334-9585-f357-1c0e-74887816e8b7',</v>
      </c>
    </row>
    <row r="429" spans="1:12" x14ac:dyDescent="0.25">
      <c r="A429" t="s">
        <v>422</v>
      </c>
      <c r="H429">
        <f t="shared" si="33"/>
        <v>9</v>
      </c>
      <c r="I429" t="str">
        <f t="shared" si="34"/>
        <v xml:space="preserve">    name:</v>
      </c>
      <c r="J429">
        <f t="shared" si="35"/>
        <v>17</v>
      </c>
      <c r="K429" t="str">
        <f t="shared" si="36"/>
        <v>PLATSA</v>
      </c>
      <c r="L429" t="str">
        <f t="shared" si="37"/>
        <v xml:space="preserve">    name: 'PLATSA',</v>
      </c>
    </row>
    <row r="430" spans="1:12" x14ac:dyDescent="0.25">
      <c r="A430" t="s">
        <v>410</v>
      </c>
      <c r="H430">
        <f t="shared" si="33"/>
        <v>13</v>
      </c>
      <c r="I430" t="str">
        <f t="shared" si="34"/>
        <v xml:space="preserve">    category:</v>
      </c>
      <c r="J430">
        <f t="shared" si="35"/>
        <v>47</v>
      </c>
      <c r="K430" t="str">
        <f t="shared" si="36"/>
        <v>Chests of drawers &amp; drawer units</v>
      </c>
      <c r="L430" t="str">
        <f t="shared" si="37"/>
        <v xml:space="preserve">    category: 'Chests of drawers &amp; drawer units',</v>
      </c>
    </row>
    <row r="431" spans="1:12" x14ac:dyDescent="0.25">
      <c r="A431" t="s">
        <v>423</v>
      </c>
      <c r="H431">
        <f t="shared" si="33"/>
        <v>10</v>
      </c>
      <c r="I431" t="str">
        <f t="shared" si="34"/>
        <v xml:space="preserve">    price:</v>
      </c>
      <c r="J431">
        <f t="shared" si="35"/>
        <v>15</v>
      </c>
      <c r="K431" t="str">
        <f t="shared" si="36"/>
        <v>443</v>
      </c>
      <c r="L431" t="str">
        <f t="shared" si="37"/>
        <v xml:space="preserve">    price: '443',</v>
      </c>
    </row>
    <row r="432" spans="1:12" x14ac:dyDescent="0.25">
      <c r="A432" t="s">
        <v>424</v>
      </c>
      <c r="H432">
        <f t="shared" si="33"/>
        <v>16</v>
      </c>
      <c r="I432" t="str">
        <f t="shared" si="34"/>
        <v xml:space="preserve">    description:</v>
      </c>
      <c r="J432">
        <f t="shared" si="35"/>
        <v>49</v>
      </c>
      <c r="K432" t="str">
        <f t="shared" si="36"/>
        <v>Chest of 2 drawers, 60x42x91 cm</v>
      </c>
      <c r="L432" t="str">
        <f t="shared" si="37"/>
        <v xml:space="preserve">    description: 'Chest of 2 drawers, 60x42x91 cm',</v>
      </c>
    </row>
    <row r="433" spans="1:12" x14ac:dyDescent="0.25">
      <c r="A433" t="s">
        <v>425</v>
      </c>
      <c r="H433">
        <f t="shared" si="33"/>
        <v>13</v>
      </c>
      <c r="I433" t="str">
        <f t="shared" si="34"/>
        <v xml:space="preserve">    designer:</v>
      </c>
      <c r="J433">
        <f t="shared" si="35"/>
        <v>41</v>
      </c>
      <c r="K433" t="str">
        <f t="shared" si="36"/>
        <v>IKEA of Sweden/Ola Wihlbor</v>
      </c>
      <c r="L433" t="str">
        <f t="shared" si="37"/>
        <v xml:space="preserve">    designer: 'IKEA of Sweden/Ola Wihlbor',</v>
      </c>
    </row>
    <row r="434" spans="1:12" x14ac:dyDescent="0.25">
      <c r="A434" t="s">
        <v>522</v>
      </c>
      <c r="H434" t="e">
        <f t="shared" si="33"/>
        <v>#VALUE!</v>
      </c>
      <c r="I434" t="e">
        <f t="shared" si="34"/>
        <v>#VALUE!</v>
      </c>
      <c r="J434">
        <f t="shared" si="35"/>
        <v>4</v>
      </c>
      <c r="K434" t="e">
        <f t="shared" si="36"/>
        <v>#VALUE!</v>
      </c>
      <c r="L434" t="str">
        <f>A434</f>
        <v xml:space="preserve">  },</v>
      </c>
    </row>
    <row r="435" spans="1:12" x14ac:dyDescent="0.25">
      <c r="A435" t="s">
        <v>238</v>
      </c>
      <c r="H435" t="e">
        <f t="shared" si="33"/>
        <v>#VALUE!</v>
      </c>
      <c r="I435" t="e">
        <f t="shared" si="34"/>
        <v>#VALUE!</v>
      </c>
      <c r="J435">
        <f t="shared" si="35"/>
        <v>3</v>
      </c>
      <c r="K435" t="e">
        <f t="shared" si="36"/>
        <v>#VALUE!</v>
      </c>
      <c r="L435" t="str">
        <f>A435</f>
        <v xml:space="preserve">  {</v>
      </c>
    </row>
    <row r="436" spans="1:12" x14ac:dyDescent="0.25">
      <c r="A436" t="s">
        <v>426</v>
      </c>
      <c r="H436">
        <f t="shared" si="33"/>
        <v>9</v>
      </c>
      <c r="I436" t="str">
        <f t="shared" si="34"/>
        <v xml:space="preserve">    guid:</v>
      </c>
      <c r="J436">
        <f t="shared" si="35"/>
        <v>47</v>
      </c>
      <c r="K436" t="str">
        <f t="shared" si="36"/>
        <v>ff3df96d-446b-48c6-5976-21c3bed56ab0</v>
      </c>
      <c r="L436" t="str">
        <f t="shared" si="37"/>
        <v xml:space="preserve">    guid: 'ff3df96d-446b-48c6-5976-21c3bed56ab0',</v>
      </c>
    </row>
    <row r="437" spans="1:12" x14ac:dyDescent="0.25">
      <c r="A437" t="s">
        <v>427</v>
      </c>
      <c r="H437">
        <f t="shared" si="33"/>
        <v>9</v>
      </c>
      <c r="I437" t="str">
        <f t="shared" si="34"/>
        <v xml:space="preserve">    name:</v>
      </c>
      <c r="J437">
        <f t="shared" si="35"/>
        <v>18</v>
      </c>
      <c r="K437" t="str">
        <f t="shared" si="36"/>
        <v>LENNART</v>
      </c>
      <c r="L437" t="str">
        <f t="shared" si="37"/>
        <v xml:space="preserve">    name: 'LENNART',</v>
      </c>
    </row>
    <row r="438" spans="1:12" x14ac:dyDescent="0.25">
      <c r="A438" t="s">
        <v>410</v>
      </c>
      <c r="H438">
        <f t="shared" si="33"/>
        <v>13</v>
      </c>
      <c r="I438" t="str">
        <f t="shared" si="34"/>
        <v xml:space="preserve">    category:</v>
      </c>
      <c r="J438">
        <f t="shared" si="35"/>
        <v>47</v>
      </c>
      <c r="K438" t="str">
        <f t="shared" si="36"/>
        <v>Chests of drawers &amp; drawer units</v>
      </c>
      <c r="L438" t="str">
        <f t="shared" si="37"/>
        <v xml:space="preserve">    category: 'Chests of drawers &amp; drawer units',</v>
      </c>
    </row>
    <row r="439" spans="1:12" x14ac:dyDescent="0.25">
      <c r="A439" t="s">
        <v>428</v>
      </c>
      <c r="H439">
        <f t="shared" si="33"/>
        <v>10</v>
      </c>
      <c r="I439" t="str">
        <f t="shared" si="34"/>
        <v xml:space="preserve">    price:</v>
      </c>
      <c r="J439">
        <f t="shared" si="35"/>
        <v>14</v>
      </c>
      <c r="K439" t="str">
        <f t="shared" si="36"/>
        <v>49</v>
      </c>
      <c r="L439" t="str">
        <f t="shared" si="37"/>
        <v xml:space="preserve">    price: '49',</v>
      </c>
    </row>
    <row r="440" spans="1:12" x14ac:dyDescent="0.25">
      <c r="A440" t="s">
        <v>429</v>
      </c>
      <c r="H440">
        <f t="shared" si="33"/>
        <v>16</v>
      </c>
      <c r="I440" t="str">
        <f t="shared" si="34"/>
        <v xml:space="preserve">    description:</v>
      </c>
      <c r="J440">
        <f t="shared" si="35"/>
        <v>29</v>
      </c>
      <c r="K440" t="str">
        <f t="shared" si="36"/>
        <v>Drawer unit</v>
      </c>
      <c r="L440" t="str">
        <f t="shared" si="37"/>
        <v xml:space="preserve">    description: 'Drawer unit',</v>
      </c>
    </row>
    <row r="441" spans="1:12" x14ac:dyDescent="0.25">
      <c r="A441" t="s">
        <v>296</v>
      </c>
      <c r="H441">
        <f t="shared" si="33"/>
        <v>13</v>
      </c>
      <c r="I441" t="str">
        <f t="shared" si="34"/>
        <v xml:space="preserve">    designer:</v>
      </c>
      <c r="J441">
        <f t="shared" si="35"/>
        <v>26</v>
      </c>
      <c r="K441" t="str">
        <f t="shared" si="36"/>
        <v>Jon Karlsso</v>
      </c>
      <c r="L441" t="str">
        <f t="shared" si="37"/>
        <v xml:space="preserve">    designer: 'Jon Karlsso',</v>
      </c>
    </row>
    <row r="442" spans="1:12" x14ac:dyDescent="0.25">
      <c r="A442" t="s">
        <v>522</v>
      </c>
      <c r="H442" t="e">
        <f t="shared" si="33"/>
        <v>#VALUE!</v>
      </c>
      <c r="I442" t="e">
        <f t="shared" si="34"/>
        <v>#VALUE!</v>
      </c>
      <c r="J442">
        <f t="shared" si="35"/>
        <v>4</v>
      </c>
      <c r="K442" t="e">
        <f t="shared" si="36"/>
        <v>#VALUE!</v>
      </c>
      <c r="L442" t="str">
        <f>A442</f>
        <v xml:space="preserve">  },</v>
      </c>
    </row>
    <row r="443" spans="1:12" x14ac:dyDescent="0.25">
      <c r="A443" t="s">
        <v>238</v>
      </c>
      <c r="H443" t="e">
        <f t="shared" si="33"/>
        <v>#VALUE!</v>
      </c>
      <c r="I443" t="e">
        <f t="shared" si="34"/>
        <v>#VALUE!</v>
      </c>
      <c r="J443">
        <f t="shared" si="35"/>
        <v>3</v>
      </c>
      <c r="K443" t="e">
        <f t="shared" si="36"/>
        <v>#VALUE!</v>
      </c>
      <c r="L443" t="str">
        <f>A443</f>
        <v xml:space="preserve">  {</v>
      </c>
    </row>
    <row r="444" spans="1:12" x14ac:dyDescent="0.25">
      <c r="A444" t="s">
        <v>430</v>
      </c>
      <c r="H444">
        <f t="shared" si="33"/>
        <v>9</v>
      </c>
      <c r="I444" t="str">
        <f t="shared" si="34"/>
        <v xml:space="preserve">    guid:</v>
      </c>
      <c r="J444">
        <f t="shared" si="35"/>
        <v>47</v>
      </c>
      <c r="K444" t="str">
        <f t="shared" si="36"/>
        <v>d5172b57-f80f-c7e0-7a7b-6be8e4ac18f0</v>
      </c>
      <c r="L444" t="str">
        <f t="shared" si="37"/>
        <v xml:space="preserve">    guid: 'd5172b57-f80f-c7e0-7a7b-6be8e4ac18f0',</v>
      </c>
    </row>
    <row r="445" spans="1:12" x14ac:dyDescent="0.25">
      <c r="A445" t="s">
        <v>431</v>
      </c>
      <c r="H445">
        <f t="shared" si="33"/>
        <v>9</v>
      </c>
      <c r="I445" t="str">
        <f t="shared" si="34"/>
        <v xml:space="preserve">    name:</v>
      </c>
      <c r="J445">
        <f t="shared" si="35"/>
        <v>15</v>
      </c>
      <c r="K445" t="str">
        <f t="shared" si="36"/>
        <v>MALM</v>
      </c>
      <c r="L445" t="str">
        <f t="shared" si="37"/>
        <v xml:space="preserve">    name: 'MALM',</v>
      </c>
    </row>
    <row r="446" spans="1:12" x14ac:dyDescent="0.25">
      <c r="A446" t="s">
        <v>410</v>
      </c>
      <c r="H446">
        <f t="shared" si="33"/>
        <v>13</v>
      </c>
      <c r="I446" t="str">
        <f t="shared" si="34"/>
        <v xml:space="preserve">    category:</v>
      </c>
      <c r="J446">
        <f t="shared" si="35"/>
        <v>47</v>
      </c>
      <c r="K446" t="str">
        <f t="shared" si="36"/>
        <v>Chests of drawers &amp; drawer units</v>
      </c>
      <c r="L446" t="str">
        <f t="shared" si="37"/>
        <v xml:space="preserve">    category: 'Chests of drawers &amp; drawer units',</v>
      </c>
    </row>
    <row r="447" spans="1:12" x14ac:dyDescent="0.25">
      <c r="A447" t="s">
        <v>432</v>
      </c>
      <c r="H447">
        <f t="shared" si="33"/>
        <v>10</v>
      </c>
      <c r="I447" t="str">
        <f t="shared" si="34"/>
        <v xml:space="preserve">    price:</v>
      </c>
      <c r="J447">
        <f t="shared" si="35"/>
        <v>15</v>
      </c>
      <c r="K447" t="str">
        <f t="shared" si="36"/>
        <v>555</v>
      </c>
      <c r="L447" t="str">
        <f t="shared" si="37"/>
        <v xml:space="preserve">    price: '555',</v>
      </c>
    </row>
    <row r="448" spans="1:12" x14ac:dyDescent="0.25">
      <c r="A448" t="s">
        <v>433</v>
      </c>
      <c r="H448">
        <f t="shared" si="33"/>
        <v>16</v>
      </c>
      <c r="I448" t="str">
        <f t="shared" si="34"/>
        <v xml:space="preserve">    description:</v>
      </c>
      <c r="J448">
        <f t="shared" si="35"/>
        <v>47</v>
      </c>
      <c r="K448" t="str">
        <f t="shared" si="36"/>
        <v>Chest of 6 drawers, 160x78 cm</v>
      </c>
      <c r="L448" t="str">
        <f t="shared" si="37"/>
        <v xml:space="preserve">    description: 'Chest of 6 drawers, 160x78 cm',</v>
      </c>
    </row>
    <row r="449" spans="1:12" x14ac:dyDescent="0.25">
      <c r="A449" t="s">
        <v>341</v>
      </c>
      <c r="H449">
        <f t="shared" si="33"/>
        <v>13</v>
      </c>
      <c r="I449" t="str">
        <f t="shared" si="34"/>
        <v xml:space="preserve">    designer:</v>
      </c>
      <c r="J449">
        <f t="shared" si="35"/>
        <v>28</v>
      </c>
      <c r="K449" t="str">
        <f t="shared" si="36"/>
        <v>IKEA of Swede</v>
      </c>
      <c r="L449" t="str">
        <f t="shared" si="37"/>
        <v xml:space="preserve">    designer: 'IKEA of Swede',</v>
      </c>
    </row>
    <row r="450" spans="1:12" x14ac:dyDescent="0.25">
      <c r="A450" t="s">
        <v>522</v>
      </c>
      <c r="H450" t="e">
        <f t="shared" si="33"/>
        <v>#VALUE!</v>
      </c>
      <c r="I450" t="e">
        <f t="shared" si="34"/>
        <v>#VALUE!</v>
      </c>
      <c r="J450">
        <f t="shared" si="35"/>
        <v>4</v>
      </c>
      <c r="K450" t="e">
        <f t="shared" si="36"/>
        <v>#VALUE!</v>
      </c>
      <c r="L450" t="str">
        <f>A450</f>
        <v xml:space="preserve">  },</v>
      </c>
    </row>
    <row r="451" spans="1:12" x14ac:dyDescent="0.25">
      <c r="A451" t="s">
        <v>238</v>
      </c>
      <c r="H451" t="e">
        <f t="shared" si="33"/>
        <v>#VALUE!</v>
      </c>
      <c r="I451" t="e">
        <f t="shared" si="34"/>
        <v>#VALUE!</v>
      </c>
      <c r="J451">
        <f t="shared" si="35"/>
        <v>3</v>
      </c>
      <c r="K451" t="e">
        <f t="shared" si="36"/>
        <v>#VALUE!</v>
      </c>
      <c r="L451" t="str">
        <f>A451</f>
        <v xml:space="preserve">  {</v>
      </c>
    </row>
    <row r="452" spans="1:12" x14ac:dyDescent="0.25">
      <c r="A452" t="s">
        <v>434</v>
      </c>
      <c r="H452">
        <f t="shared" si="33"/>
        <v>9</v>
      </c>
      <c r="I452" t="str">
        <f t="shared" si="34"/>
        <v xml:space="preserve">    guid:</v>
      </c>
      <c r="J452">
        <f t="shared" si="35"/>
        <v>47</v>
      </c>
      <c r="K452" t="str">
        <f t="shared" si="36"/>
        <v>90858ffa-a85f-292c-fc30-0e0ff690428d</v>
      </c>
      <c r="L452" t="str">
        <f t="shared" si="37"/>
        <v xml:space="preserve">    guid: '90858ffa-a85f-292c-fc30-0e0ff690428d',</v>
      </c>
    </row>
    <row r="453" spans="1:12" x14ac:dyDescent="0.25">
      <c r="A453" t="s">
        <v>435</v>
      </c>
      <c r="H453">
        <f t="shared" ref="H453:H516" si="38">SEARCH(":",A453)</f>
        <v>9</v>
      </c>
      <c r="I453" t="str">
        <f t="shared" ref="I453:I516" si="39">LOWER(LEFT(A453,H453))</f>
        <v xml:space="preserve">    name:</v>
      </c>
      <c r="J453">
        <f t="shared" ref="J453:J516" si="40">LEN(A453)</f>
        <v>15</v>
      </c>
      <c r="K453" t="str">
        <f t="shared" ref="K453:K516" si="41">MID(A453,H453+2,J453-H453-2)</f>
        <v>RAST</v>
      </c>
      <c r="L453" t="str">
        <f t="shared" ref="L453:L516" si="42">_xlfn.CONCAT(I453," '",K453,"'",",")</f>
        <v xml:space="preserve">    name: 'RAST',</v>
      </c>
    </row>
    <row r="454" spans="1:12" x14ac:dyDescent="0.25">
      <c r="A454" t="s">
        <v>410</v>
      </c>
      <c r="H454">
        <f t="shared" si="38"/>
        <v>13</v>
      </c>
      <c r="I454" t="str">
        <f t="shared" si="39"/>
        <v xml:space="preserve">    category:</v>
      </c>
      <c r="J454">
        <f t="shared" si="40"/>
        <v>47</v>
      </c>
      <c r="K454" t="str">
        <f t="shared" si="41"/>
        <v>Chests of drawers &amp; drawer units</v>
      </c>
      <c r="L454" t="str">
        <f t="shared" si="42"/>
        <v xml:space="preserve">    category: 'Chests of drawers &amp; drawer units',</v>
      </c>
    </row>
    <row r="455" spans="1:12" x14ac:dyDescent="0.25">
      <c r="A455" t="s">
        <v>436</v>
      </c>
      <c r="H455">
        <f t="shared" si="38"/>
        <v>10</v>
      </c>
      <c r="I455" t="str">
        <f t="shared" si="39"/>
        <v xml:space="preserve">    price:</v>
      </c>
      <c r="J455">
        <f t="shared" si="40"/>
        <v>15</v>
      </c>
      <c r="K455" t="str">
        <f t="shared" si="41"/>
        <v>139</v>
      </c>
      <c r="L455" t="str">
        <f t="shared" si="42"/>
        <v xml:space="preserve">    price: '139',</v>
      </c>
    </row>
    <row r="456" spans="1:12" x14ac:dyDescent="0.25">
      <c r="A456" t="s">
        <v>437</v>
      </c>
      <c r="H456">
        <f t="shared" si="38"/>
        <v>16</v>
      </c>
      <c r="I456" t="str">
        <f t="shared" si="39"/>
        <v xml:space="preserve">    description:</v>
      </c>
      <c r="J456">
        <f t="shared" si="40"/>
        <v>46</v>
      </c>
      <c r="K456" t="str">
        <f t="shared" si="41"/>
        <v>Chest of 3 drawers, 62x70 cm</v>
      </c>
      <c r="L456" t="str">
        <f t="shared" si="42"/>
        <v xml:space="preserve">    description: 'Chest of 3 drawers, 62x70 cm',</v>
      </c>
    </row>
    <row r="457" spans="1:12" x14ac:dyDescent="0.25">
      <c r="A457" t="s">
        <v>341</v>
      </c>
      <c r="H457">
        <f t="shared" si="38"/>
        <v>13</v>
      </c>
      <c r="I457" t="str">
        <f t="shared" si="39"/>
        <v xml:space="preserve">    designer:</v>
      </c>
      <c r="J457">
        <f t="shared" si="40"/>
        <v>28</v>
      </c>
      <c r="K457" t="str">
        <f t="shared" si="41"/>
        <v>IKEA of Swede</v>
      </c>
      <c r="L457" t="str">
        <f t="shared" si="42"/>
        <v xml:space="preserve">    designer: 'IKEA of Swede',</v>
      </c>
    </row>
    <row r="458" spans="1:12" x14ac:dyDescent="0.25">
      <c r="A458" t="s">
        <v>522</v>
      </c>
      <c r="H458" t="e">
        <f t="shared" si="38"/>
        <v>#VALUE!</v>
      </c>
      <c r="I458" t="e">
        <f t="shared" si="39"/>
        <v>#VALUE!</v>
      </c>
      <c r="J458">
        <f t="shared" si="40"/>
        <v>4</v>
      </c>
      <c r="K458" t="e">
        <f t="shared" si="41"/>
        <v>#VALUE!</v>
      </c>
      <c r="L458" t="str">
        <f>A458</f>
        <v xml:space="preserve">  },</v>
      </c>
    </row>
    <row r="459" spans="1:12" x14ac:dyDescent="0.25">
      <c r="A459" t="s">
        <v>238</v>
      </c>
      <c r="H459" t="e">
        <f t="shared" si="38"/>
        <v>#VALUE!</v>
      </c>
      <c r="I459" t="e">
        <f t="shared" si="39"/>
        <v>#VALUE!</v>
      </c>
      <c r="J459">
        <f t="shared" si="40"/>
        <v>3</v>
      </c>
      <c r="K459" t="e">
        <f t="shared" si="41"/>
        <v>#VALUE!</v>
      </c>
      <c r="L459" t="str">
        <f>A459</f>
        <v xml:space="preserve">  {</v>
      </c>
    </row>
    <row r="460" spans="1:12" x14ac:dyDescent="0.25">
      <c r="A460" t="s">
        <v>438</v>
      </c>
      <c r="H460">
        <f t="shared" si="38"/>
        <v>9</v>
      </c>
      <c r="I460" t="str">
        <f t="shared" si="39"/>
        <v xml:space="preserve">    guid:</v>
      </c>
      <c r="J460">
        <f t="shared" si="40"/>
        <v>47</v>
      </c>
      <c r="K460" t="str">
        <f t="shared" si="41"/>
        <v>c876e746-2451-c0ac-9a6d-040dd371793e</v>
      </c>
      <c r="L460" t="str">
        <f t="shared" si="42"/>
        <v xml:space="preserve">    guid: 'c876e746-2451-c0ac-9a6d-040dd371793e',</v>
      </c>
    </row>
    <row r="461" spans="1:12" x14ac:dyDescent="0.25">
      <c r="A461" t="s">
        <v>439</v>
      </c>
      <c r="H461">
        <f t="shared" si="38"/>
        <v>9</v>
      </c>
      <c r="I461" t="str">
        <f t="shared" si="39"/>
        <v xml:space="preserve">    name:</v>
      </c>
      <c r="J461">
        <f t="shared" si="40"/>
        <v>20</v>
      </c>
      <c r="K461" t="str">
        <f t="shared" si="41"/>
        <v>SONGESAND</v>
      </c>
      <c r="L461" t="str">
        <f t="shared" si="42"/>
        <v xml:space="preserve">    name: 'SONGESAND',</v>
      </c>
    </row>
    <row r="462" spans="1:12" x14ac:dyDescent="0.25">
      <c r="A462" t="s">
        <v>410</v>
      </c>
      <c r="H462">
        <f t="shared" si="38"/>
        <v>13</v>
      </c>
      <c r="I462" t="str">
        <f t="shared" si="39"/>
        <v xml:space="preserve">    category:</v>
      </c>
      <c r="J462">
        <f t="shared" si="40"/>
        <v>47</v>
      </c>
      <c r="K462" t="str">
        <f t="shared" si="41"/>
        <v>Chests of drawers &amp; drawer units</v>
      </c>
      <c r="L462" t="str">
        <f t="shared" si="42"/>
        <v xml:space="preserve">    category: 'Chests of drawers &amp; drawer units',</v>
      </c>
    </row>
    <row r="463" spans="1:12" x14ac:dyDescent="0.25">
      <c r="A463" t="s">
        <v>440</v>
      </c>
      <c r="H463">
        <f t="shared" si="38"/>
        <v>10</v>
      </c>
      <c r="I463" t="str">
        <f t="shared" si="39"/>
        <v xml:space="preserve">    price:</v>
      </c>
      <c r="J463">
        <f t="shared" si="40"/>
        <v>15</v>
      </c>
      <c r="K463" t="str">
        <f t="shared" si="41"/>
        <v>695</v>
      </c>
      <c r="L463" t="str">
        <f t="shared" si="42"/>
        <v xml:space="preserve">    price: '695',</v>
      </c>
    </row>
    <row r="464" spans="1:12" x14ac:dyDescent="0.25">
      <c r="A464" t="s">
        <v>441</v>
      </c>
      <c r="H464">
        <f t="shared" si="38"/>
        <v>16</v>
      </c>
      <c r="I464" t="str">
        <f t="shared" si="39"/>
        <v xml:space="preserve">    description:</v>
      </c>
      <c r="J464">
        <f t="shared" si="40"/>
        <v>47</v>
      </c>
      <c r="K464" t="str">
        <f t="shared" si="41"/>
        <v>Chest of 6 drawers, 161x81 cm</v>
      </c>
      <c r="L464" t="str">
        <f t="shared" si="42"/>
        <v xml:space="preserve">    description: 'Chest of 6 drawers, 161x81 cm',</v>
      </c>
    </row>
    <row r="465" spans="1:12" x14ac:dyDescent="0.25">
      <c r="A465" t="s">
        <v>341</v>
      </c>
      <c r="H465">
        <f t="shared" si="38"/>
        <v>13</v>
      </c>
      <c r="I465" t="str">
        <f t="shared" si="39"/>
        <v xml:space="preserve">    designer:</v>
      </c>
      <c r="J465">
        <f t="shared" si="40"/>
        <v>28</v>
      </c>
      <c r="K465" t="str">
        <f t="shared" si="41"/>
        <v>IKEA of Swede</v>
      </c>
      <c r="L465" t="str">
        <f t="shared" si="42"/>
        <v xml:space="preserve">    designer: 'IKEA of Swede',</v>
      </c>
    </row>
    <row r="466" spans="1:12" x14ac:dyDescent="0.25">
      <c r="A466" t="s">
        <v>522</v>
      </c>
      <c r="H466" t="e">
        <f t="shared" si="38"/>
        <v>#VALUE!</v>
      </c>
      <c r="I466" t="e">
        <f t="shared" si="39"/>
        <v>#VALUE!</v>
      </c>
      <c r="J466">
        <f t="shared" si="40"/>
        <v>4</v>
      </c>
      <c r="K466" t="e">
        <f t="shared" si="41"/>
        <v>#VALUE!</v>
      </c>
      <c r="L466" t="str">
        <f>A466</f>
        <v xml:space="preserve">  },</v>
      </c>
    </row>
    <row r="467" spans="1:12" x14ac:dyDescent="0.25">
      <c r="A467" t="s">
        <v>238</v>
      </c>
      <c r="H467" t="e">
        <f t="shared" si="38"/>
        <v>#VALUE!</v>
      </c>
      <c r="I467" t="e">
        <f t="shared" si="39"/>
        <v>#VALUE!</v>
      </c>
      <c r="J467">
        <f t="shared" si="40"/>
        <v>3</v>
      </c>
      <c r="K467" t="e">
        <f t="shared" si="41"/>
        <v>#VALUE!</v>
      </c>
      <c r="L467" t="str">
        <f>A467</f>
        <v xml:space="preserve">  {</v>
      </c>
    </row>
    <row r="468" spans="1:12" x14ac:dyDescent="0.25">
      <c r="A468" t="s">
        <v>442</v>
      </c>
      <c r="H468">
        <f t="shared" si="38"/>
        <v>9</v>
      </c>
      <c r="I468" t="str">
        <f t="shared" si="39"/>
        <v xml:space="preserve">    guid:</v>
      </c>
      <c r="J468">
        <f t="shared" si="40"/>
        <v>47</v>
      </c>
      <c r="K468" t="str">
        <f t="shared" si="41"/>
        <v>3590f6b0-d806-376b-4f6e-c145d5fbae4e</v>
      </c>
      <c r="L468" t="str">
        <f t="shared" si="42"/>
        <v xml:space="preserve">    guid: '3590f6b0-d806-376b-4f6e-c145d5fbae4e',</v>
      </c>
    </row>
    <row r="469" spans="1:12" x14ac:dyDescent="0.25">
      <c r="A469" t="s">
        <v>431</v>
      </c>
      <c r="H469">
        <f t="shared" si="38"/>
        <v>9</v>
      </c>
      <c r="I469" t="str">
        <f t="shared" si="39"/>
        <v xml:space="preserve">    name:</v>
      </c>
      <c r="J469">
        <f t="shared" si="40"/>
        <v>15</v>
      </c>
      <c r="K469" t="str">
        <f t="shared" si="41"/>
        <v>MALM</v>
      </c>
      <c r="L469" t="str">
        <f t="shared" si="42"/>
        <v xml:space="preserve">    name: 'MALM',</v>
      </c>
    </row>
    <row r="470" spans="1:12" x14ac:dyDescent="0.25">
      <c r="A470" t="s">
        <v>410</v>
      </c>
      <c r="H470">
        <f t="shared" si="38"/>
        <v>13</v>
      </c>
      <c r="I470" t="str">
        <f t="shared" si="39"/>
        <v xml:space="preserve">    category:</v>
      </c>
      <c r="J470">
        <f t="shared" si="40"/>
        <v>47</v>
      </c>
      <c r="K470" t="str">
        <f t="shared" si="41"/>
        <v>Chests of drawers &amp; drawer units</v>
      </c>
      <c r="L470" t="str">
        <f t="shared" si="42"/>
        <v xml:space="preserve">    category: 'Chests of drawers &amp; drawer units',</v>
      </c>
    </row>
    <row r="471" spans="1:12" x14ac:dyDescent="0.25">
      <c r="A471" t="s">
        <v>353</v>
      </c>
      <c r="H471">
        <f t="shared" si="38"/>
        <v>10</v>
      </c>
      <c r="I471" t="str">
        <f t="shared" si="39"/>
        <v xml:space="preserve">    price:</v>
      </c>
      <c r="J471">
        <f t="shared" si="40"/>
        <v>15</v>
      </c>
      <c r="K471" t="str">
        <f t="shared" si="41"/>
        <v>295</v>
      </c>
      <c r="L471" t="str">
        <f t="shared" si="42"/>
        <v xml:space="preserve">    price: '295',</v>
      </c>
    </row>
    <row r="472" spans="1:12" x14ac:dyDescent="0.25">
      <c r="A472" t="s">
        <v>443</v>
      </c>
      <c r="H472">
        <f t="shared" si="38"/>
        <v>16</v>
      </c>
      <c r="I472" t="str">
        <f t="shared" si="39"/>
        <v xml:space="preserve">    description:</v>
      </c>
      <c r="J472">
        <f t="shared" si="40"/>
        <v>46</v>
      </c>
      <c r="K472" t="str">
        <f t="shared" si="41"/>
        <v>Chest of 3 drawers, 80x78 cm</v>
      </c>
      <c r="L472" t="str">
        <f t="shared" si="42"/>
        <v xml:space="preserve">    description: 'Chest of 3 drawers, 80x78 cm',</v>
      </c>
    </row>
    <row r="473" spans="1:12" x14ac:dyDescent="0.25">
      <c r="A473" t="s">
        <v>341</v>
      </c>
      <c r="H473">
        <f t="shared" si="38"/>
        <v>13</v>
      </c>
      <c r="I473" t="str">
        <f t="shared" si="39"/>
        <v xml:space="preserve">    designer:</v>
      </c>
      <c r="J473">
        <f t="shared" si="40"/>
        <v>28</v>
      </c>
      <c r="K473" t="str">
        <f t="shared" si="41"/>
        <v>IKEA of Swede</v>
      </c>
      <c r="L473" t="str">
        <f t="shared" si="42"/>
        <v xml:space="preserve">    designer: 'IKEA of Swede',</v>
      </c>
    </row>
    <row r="474" spans="1:12" x14ac:dyDescent="0.25">
      <c r="A474" t="s">
        <v>522</v>
      </c>
      <c r="H474" t="e">
        <f t="shared" si="38"/>
        <v>#VALUE!</v>
      </c>
      <c r="I474" t="e">
        <f t="shared" si="39"/>
        <v>#VALUE!</v>
      </c>
      <c r="J474">
        <f t="shared" si="40"/>
        <v>4</v>
      </c>
      <c r="K474" t="e">
        <f t="shared" si="41"/>
        <v>#VALUE!</v>
      </c>
      <c r="L474" t="str">
        <f>A474</f>
        <v xml:space="preserve">  },</v>
      </c>
    </row>
    <row r="475" spans="1:12" x14ac:dyDescent="0.25">
      <c r="A475" t="s">
        <v>238</v>
      </c>
      <c r="H475" t="e">
        <f t="shared" si="38"/>
        <v>#VALUE!</v>
      </c>
      <c r="I475" t="e">
        <f t="shared" si="39"/>
        <v>#VALUE!</v>
      </c>
      <c r="J475">
        <f t="shared" si="40"/>
        <v>3</v>
      </c>
      <c r="K475" t="e">
        <f t="shared" si="41"/>
        <v>#VALUE!</v>
      </c>
      <c r="L475" t="str">
        <f>A475</f>
        <v xml:space="preserve">  {</v>
      </c>
    </row>
    <row r="476" spans="1:12" x14ac:dyDescent="0.25">
      <c r="A476" t="s">
        <v>444</v>
      </c>
      <c r="H476">
        <f t="shared" si="38"/>
        <v>9</v>
      </c>
      <c r="I476" t="str">
        <f t="shared" si="39"/>
        <v xml:space="preserve">    guid:</v>
      </c>
      <c r="J476">
        <f t="shared" si="40"/>
        <v>47</v>
      </c>
      <c r="K476" t="str">
        <f t="shared" si="41"/>
        <v>bb405725-f3fa-f5db-215f-1068893f6daf</v>
      </c>
      <c r="L476" t="str">
        <f t="shared" si="42"/>
        <v xml:space="preserve">    guid: 'bb405725-f3fa-f5db-215f-1068893f6daf',</v>
      </c>
    </row>
    <row r="477" spans="1:12" x14ac:dyDescent="0.25">
      <c r="A477" t="s">
        <v>445</v>
      </c>
      <c r="H477">
        <f t="shared" si="38"/>
        <v>9</v>
      </c>
      <c r="I477" t="str">
        <f t="shared" si="39"/>
        <v xml:space="preserve">    name:</v>
      </c>
      <c r="J477">
        <f t="shared" si="40"/>
        <v>18</v>
      </c>
      <c r="K477" t="str">
        <f t="shared" si="41"/>
        <v>KOPPANG</v>
      </c>
      <c r="L477" t="str">
        <f t="shared" si="42"/>
        <v xml:space="preserve">    name: 'KOPPANG',</v>
      </c>
    </row>
    <row r="478" spans="1:12" x14ac:dyDescent="0.25">
      <c r="A478" t="s">
        <v>410</v>
      </c>
      <c r="H478">
        <f t="shared" si="38"/>
        <v>13</v>
      </c>
      <c r="I478" t="str">
        <f t="shared" si="39"/>
        <v xml:space="preserve">    category:</v>
      </c>
      <c r="J478">
        <f t="shared" si="40"/>
        <v>47</v>
      </c>
      <c r="K478" t="str">
        <f t="shared" si="41"/>
        <v>Chests of drawers &amp; drawer units</v>
      </c>
      <c r="L478" t="str">
        <f t="shared" si="42"/>
        <v xml:space="preserve">    category: 'Chests of drawers &amp; drawer units',</v>
      </c>
    </row>
    <row r="479" spans="1:12" x14ac:dyDescent="0.25">
      <c r="A479" t="s">
        <v>446</v>
      </c>
      <c r="H479">
        <f t="shared" si="38"/>
        <v>10</v>
      </c>
      <c r="I479" t="str">
        <f t="shared" si="39"/>
        <v xml:space="preserve">    price:</v>
      </c>
      <c r="J479">
        <f t="shared" si="40"/>
        <v>15</v>
      </c>
      <c r="K479" t="str">
        <f t="shared" si="41"/>
        <v>395</v>
      </c>
      <c r="L479" t="str">
        <f t="shared" si="42"/>
        <v xml:space="preserve">    price: '395',</v>
      </c>
    </row>
    <row r="480" spans="1:12" x14ac:dyDescent="0.25">
      <c r="A480" t="s">
        <v>447</v>
      </c>
      <c r="H480">
        <f t="shared" si="38"/>
        <v>16</v>
      </c>
      <c r="I480" t="str">
        <f t="shared" si="39"/>
        <v xml:space="preserve">    description:</v>
      </c>
      <c r="J480">
        <f t="shared" si="40"/>
        <v>46</v>
      </c>
      <c r="K480" t="str">
        <f t="shared" si="41"/>
        <v>Chest of 3 drawers, 90x83 cm</v>
      </c>
      <c r="L480" t="str">
        <f t="shared" si="42"/>
        <v xml:space="preserve">    description: 'Chest of 3 drawers, 90x83 cm',</v>
      </c>
    </row>
    <row r="481" spans="1:12" x14ac:dyDescent="0.25">
      <c r="A481" t="s">
        <v>275</v>
      </c>
      <c r="H481">
        <f t="shared" si="38"/>
        <v>13</v>
      </c>
      <c r="I481" t="str">
        <f t="shared" si="39"/>
        <v xml:space="preserve">    designer:</v>
      </c>
      <c r="J481">
        <f t="shared" si="40"/>
        <v>33</v>
      </c>
      <c r="K481" t="str">
        <f t="shared" si="41"/>
        <v>K Hagberg/M Hagber</v>
      </c>
      <c r="L481" t="str">
        <f t="shared" si="42"/>
        <v xml:space="preserve">    designer: 'K Hagberg/M Hagber',</v>
      </c>
    </row>
    <row r="482" spans="1:12" x14ac:dyDescent="0.25">
      <c r="A482" t="s">
        <v>522</v>
      </c>
      <c r="H482" t="e">
        <f t="shared" si="38"/>
        <v>#VALUE!</v>
      </c>
      <c r="I482" t="e">
        <f t="shared" si="39"/>
        <v>#VALUE!</v>
      </c>
      <c r="J482">
        <f t="shared" si="40"/>
        <v>4</v>
      </c>
      <c r="K482" t="e">
        <f t="shared" si="41"/>
        <v>#VALUE!</v>
      </c>
      <c r="L482" t="str">
        <f>A482</f>
        <v xml:space="preserve">  },</v>
      </c>
    </row>
    <row r="483" spans="1:12" x14ac:dyDescent="0.25">
      <c r="A483" t="s">
        <v>238</v>
      </c>
      <c r="H483" t="e">
        <f t="shared" si="38"/>
        <v>#VALUE!</v>
      </c>
      <c r="I483" t="e">
        <f t="shared" si="39"/>
        <v>#VALUE!</v>
      </c>
      <c r="J483">
        <f t="shared" si="40"/>
        <v>3</v>
      </c>
      <c r="K483" t="e">
        <f t="shared" si="41"/>
        <v>#VALUE!</v>
      </c>
      <c r="L483" t="str">
        <f>A483</f>
        <v xml:space="preserve">  {</v>
      </c>
    </row>
    <row r="484" spans="1:12" x14ac:dyDescent="0.25">
      <c r="A484" t="s">
        <v>448</v>
      </c>
      <c r="H484">
        <f t="shared" si="38"/>
        <v>9</v>
      </c>
      <c r="I484" t="str">
        <f t="shared" si="39"/>
        <v xml:space="preserve">    guid:</v>
      </c>
      <c r="J484">
        <f t="shared" si="40"/>
        <v>47</v>
      </c>
      <c r="K484" t="str">
        <f t="shared" si="41"/>
        <v>84152b58-8b87-31a0-5580-fd894be80e41</v>
      </c>
      <c r="L484" t="str">
        <f t="shared" si="42"/>
        <v xml:space="preserve">    guid: '84152b58-8b87-31a0-5580-fd894be80e41',</v>
      </c>
    </row>
    <row r="485" spans="1:12" x14ac:dyDescent="0.25">
      <c r="A485" t="s">
        <v>242</v>
      </c>
      <c r="H485">
        <f t="shared" si="38"/>
        <v>9</v>
      </c>
      <c r="I485" t="str">
        <f t="shared" si="39"/>
        <v xml:space="preserve">    name:</v>
      </c>
      <c r="J485">
        <f t="shared" si="40"/>
        <v>19</v>
      </c>
      <c r="K485" t="str">
        <f t="shared" si="41"/>
        <v>FREKVENS</v>
      </c>
      <c r="L485" t="str">
        <f t="shared" si="42"/>
        <v xml:space="preserve">    name: 'FREKVENS',</v>
      </c>
    </row>
    <row r="486" spans="1:12" x14ac:dyDescent="0.25">
      <c r="A486" t="s">
        <v>449</v>
      </c>
      <c r="H486">
        <f t="shared" si="38"/>
        <v>13</v>
      </c>
      <c r="I486" t="str">
        <f t="shared" si="39"/>
        <v xml:space="preserve">    category:</v>
      </c>
      <c r="J486">
        <f t="shared" si="40"/>
        <v>29</v>
      </c>
      <c r="K486" t="str">
        <f t="shared" si="41"/>
        <v>Tables &amp; desks</v>
      </c>
      <c r="L486" t="str">
        <f t="shared" si="42"/>
        <v xml:space="preserve">    category: 'Tables &amp; desks',</v>
      </c>
    </row>
    <row r="487" spans="1:12" x14ac:dyDescent="0.25">
      <c r="A487" t="s">
        <v>450</v>
      </c>
      <c r="H487">
        <f t="shared" si="38"/>
        <v>10</v>
      </c>
      <c r="I487" t="str">
        <f t="shared" si="39"/>
        <v xml:space="preserve">    price:</v>
      </c>
      <c r="J487">
        <f t="shared" si="40"/>
        <v>17</v>
      </c>
      <c r="K487" t="str">
        <f t="shared" si="41"/>
        <v>101.5</v>
      </c>
      <c r="L487" t="str">
        <f t="shared" si="42"/>
        <v xml:space="preserve">    price: '101.5',</v>
      </c>
    </row>
    <row r="488" spans="1:12" x14ac:dyDescent="0.25">
      <c r="A488" t="s">
        <v>451</v>
      </c>
      <c r="H488">
        <f t="shared" si="38"/>
        <v>16</v>
      </c>
      <c r="I488" t="str">
        <f t="shared" si="39"/>
        <v xml:space="preserve">    description:</v>
      </c>
      <c r="J488">
        <f t="shared" si="40"/>
        <v>38</v>
      </c>
      <c r="K488" t="str">
        <f t="shared" si="41"/>
        <v>Side table, 66x32 cm</v>
      </c>
      <c r="L488" t="str">
        <f t="shared" si="42"/>
        <v xml:space="preserve">    description: 'Side table, 66x32 cm',</v>
      </c>
    </row>
    <row r="489" spans="1:12" x14ac:dyDescent="0.25">
      <c r="A489" t="s">
        <v>296</v>
      </c>
      <c r="H489">
        <f t="shared" si="38"/>
        <v>13</v>
      </c>
      <c r="I489" t="str">
        <f t="shared" si="39"/>
        <v xml:space="preserve">    designer:</v>
      </c>
      <c r="J489">
        <f t="shared" si="40"/>
        <v>26</v>
      </c>
      <c r="K489" t="str">
        <f t="shared" si="41"/>
        <v>Jon Karlsso</v>
      </c>
      <c r="L489" t="str">
        <f t="shared" si="42"/>
        <v xml:space="preserve">    designer: 'Jon Karlsso',</v>
      </c>
    </row>
    <row r="490" spans="1:12" x14ac:dyDescent="0.25">
      <c r="A490" t="s">
        <v>522</v>
      </c>
      <c r="H490" t="e">
        <f t="shared" si="38"/>
        <v>#VALUE!</v>
      </c>
      <c r="I490" t="e">
        <f t="shared" si="39"/>
        <v>#VALUE!</v>
      </c>
      <c r="J490">
        <f t="shared" si="40"/>
        <v>4</v>
      </c>
      <c r="K490" t="e">
        <f t="shared" si="41"/>
        <v>#VALUE!</v>
      </c>
      <c r="L490" t="str">
        <f>A490</f>
        <v xml:space="preserve">  },</v>
      </c>
    </row>
    <row r="491" spans="1:12" x14ac:dyDescent="0.25">
      <c r="A491" t="s">
        <v>238</v>
      </c>
      <c r="H491" t="e">
        <f t="shared" si="38"/>
        <v>#VALUE!</v>
      </c>
      <c r="I491" t="e">
        <f t="shared" si="39"/>
        <v>#VALUE!</v>
      </c>
      <c r="J491">
        <f t="shared" si="40"/>
        <v>3</v>
      </c>
      <c r="K491" t="e">
        <f t="shared" si="41"/>
        <v>#VALUE!</v>
      </c>
      <c r="L491" t="str">
        <f>A491</f>
        <v xml:space="preserve">  {</v>
      </c>
    </row>
    <row r="492" spans="1:12" x14ac:dyDescent="0.25">
      <c r="A492" t="s">
        <v>452</v>
      </c>
      <c r="H492">
        <f t="shared" si="38"/>
        <v>9</v>
      </c>
      <c r="I492" t="str">
        <f t="shared" si="39"/>
        <v xml:space="preserve">    guid:</v>
      </c>
      <c r="J492">
        <f t="shared" si="40"/>
        <v>47</v>
      </c>
      <c r="K492" t="str">
        <f t="shared" si="41"/>
        <v>a451fbc8-e82a-4af7-cb9e-d4bee9e12415</v>
      </c>
      <c r="L492" t="str">
        <f t="shared" si="42"/>
        <v xml:space="preserve">    guid: 'a451fbc8-e82a-4af7-cb9e-d4bee9e12415',</v>
      </c>
    </row>
    <row r="493" spans="1:12" x14ac:dyDescent="0.25">
      <c r="A493" t="s">
        <v>453</v>
      </c>
      <c r="H493">
        <f t="shared" si="38"/>
        <v>9</v>
      </c>
      <c r="I493" t="str">
        <f t="shared" si="39"/>
        <v xml:space="preserve">    name:</v>
      </c>
      <c r="J493">
        <f t="shared" si="40"/>
        <v>20</v>
      </c>
      <c r="K493" t="str">
        <f t="shared" si="41"/>
        <v>STOCKHOLM</v>
      </c>
      <c r="L493" t="str">
        <f t="shared" si="42"/>
        <v xml:space="preserve">    name: 'STOCKHOLM',</v>
      </c>
    </row>
    <row r="494" spans="1:12" x14ac:dyDescent="0.25">
      <c r="A494" t="s">
        <v>449</v>
      </c>
      <c r="H494">
        <f t="shared" si="38"/>
        <v>13</v>
      </c>
      <c r="I494" t="str">
        <f t="shared" si="39"/>
        <v xml:space="preserve">    category:</v>
      </c>
      <c r="J494">
        <f t="shared" si="40"/>
        <v>29</v>
      </c>
      <c r="K494" t="str">
        <f t="shared" si="41"/>
        <v>Tables &amp; desks</v>
      </c>
      <c r="L494" t="str">
        <f t="shared" si="42"/>
        <v xml:space="preserve">    category: 'Tables &amp; desks',</v>
      </c>
    </row>
    <row r="495" spans="1:12" x14ac:dyDescent="0.25">
      <c r="A495" t="s">
        <v>249</v>
      </c>
      <c r="H495">
        <f t="shared" si="38"/>
        <v>10</v>
      </c>
      <c r="I495" t="str">
        <f t="shared" si="39"/>
        <v xml:space="preserve">    price:</v>
      </c>
      <c r="J495">
        <f t="shared" si="40"/>
        <v>15</v>
      </c>
      <c r="K495" t="str">
        <f t="shared" si="41"/>
        <v>995</v>
      </c>
      <c r="L495" t="str">
        <f t="shared" si="42"/>
        <v xml:space="preserve">    price: '995',</v>
      </c>
    </row>
    <row r="496" spans="1:12" x14ac:dyDescent="0.25">
      <c r="A496" t="s">
        <v>454</v>
      </c>
      <c r="H496">
        <f t="shared" si="38"/>
        <v>16</v>
      </c>
      <c r="I496" t="str">
        <f t="shared" si="39"/>
        <v xml:space="preserve">    description:</v>
      </c>
      <c r="J496">
        <f t="shared" si="40"/>
        <v>41</v>
      </c>
      <c r="K496" t="str">
        <f t="shared" si="41"/>
        <v>Coffee table, 180x59 cm</v>
      </c>
      <c r="L496" t="str">
        <f t="shared" si="42"/>
        <v xml:space="preserve">    description: 'Coffee table, 180x59 cm',</v>
      </c>
    </row>
    <row r="497" spans="1:12" x14ac:dyDescent="0.25">
      <c r="A497" t="s">
        <v>417</v>
      </c>
      <c r="H497">
        <f t="shared" si="38"/>
        <v>13</v>
      </c>
      <c r="I497" t="str">
        <f t="shared" si="39"/>
        <v xml:space="preserve">    designer:</v>
      </c>
      <c r="J497">
        <f t="shared" si="40"/>
        <v>26</v>
      </c>
      <c r="K497" t="str">
        <f t="shared" si="41"/>
        <v>Ola Wihlbor</v>
      </c>
      <c r="L497" t="str">
        <f t="shared" si="42"/>
        <v xml:space="preserve">    designer: 'Ola Wihlbor',</v>
      </c>
    </row>
    <row r="498" spans="1:12" x14ac:dyDescent="0.25">
      <c r="A498" t="s">
        <v>522</v>
      </c>
      <c r="H498" t="e">
        <f t="shared" si="38"/>
        <v>#VALUE!</v>
      </c>
      <c r="I498" t="e">
        <f t="shared" si="39"/>
        <v>#VALUE!</v>
      </c>
      <c r="J498">
        <f t="shared" si="40"/>
        <v>4</v>
      </c>
      <c r="K498" t="e">
        <f t="shared" si="41"/>
        <v>#VALUE!</v>
      </c>
      <c r="L498" t="str">
        <f>A498</f>
        <v xml:space="preserve">  },</v>
      </c>
    </row>
    <row r="499" spans="1:12" x14ac:dyDescent="0.25">
      <c r="A499" t="s">
        <v>238</v>
      </c>
      <c r="H499" t="e">
        <f t="shared" si="38"/>
        <v>#VALUE!</v>
      </c>
      <c r="I499" t="e">
        <f t="shared" si="39"/>
        <v>#VALUE!</v>
      </c>
      <c r="J499">
        <f t="shared" si="40"/>
        <v>3</v>
      </c>
      <c r="K499" t="e">
        <f t="shared" si="41"/>
        <v>#VALUE!</v>
      </c>
      <c r="L499" t="str">
        <f>A499</f>
        <v xml:space="preserve">  {</v>
      </c>
    </row>
    <row r="500" spans="1:12" x14ac:dyDescent="0.25">
      <c r="A500" t="s">
        <v>455</v>
      </c>
      <c r="H500">
        <f t="shared" si="38"/>
        <v>9</v>
      </c>
      <c r="I500" t="str">
        <f t="shared" si="39"/>
        <v xml:space="preserve">    guid:</v>
      </c>
      <c r="J500">
        <f t="shared" si="40"/>
        <v>47</v>
      </c>
      <c r="K500" t="str">
        <f t="shared" si="41"/>
        <v>056c5537-d7da-be46-b917-02a9d8605081</v>
      </c>
      <c r="L500" t="str">
        <f t="shared" si="42"/>
        <v xml:space="preserve">    guid: '056c5537-d7da-be46-b917-02a9d8605081',</v>
      </c>
    </row>
    <row r="501" spans="1:12" x14ac:dyDescent="0.25">
      <c r="A501" t="s">
        <v>456</v>
      </c>
      <c r="H501">
        <f t="shared" si="38"/>
        <v>9</v>
      </c>
      <c r="I501" t="str">
        <f t="shared" si="39"/>
        <v xml:space="preserve">    name:</v>
      </c>
      <c r="J501">
        <f t="shared" si="40"/>
        <v>15</v>
      </c>
      <c r="K501" t="str">
        <f t="shared" si="41"/>
        <v>ALEX</v>
      </c>
      <c r="L501" t="str">
        <f t="shared" si="42"/>
        <v xml:space="preserve">    name: 'ALEX',</v>
      </c>
    </row>
    <row r="502" spans="1:12" x14ac:dyDescent="0.25">
      <c r="A502" t="s">
        <v>449</v>
      </c>
      <c r="H502">
        <f t="shared" si="38"/>
        <v>13</v>
      </c>
      <c r="I502" t="str">
        <f t="shared" si="39"/>
        <v xml:space="preserve">    category:</v>
      </c>
      <c r="J502">
        <f t="shared" si="40"/>
        <v>29</v>
      </c>
      <c r="K502" t="str">
        <f t="shared" si="41"/>
        <v>Tables &amp; desks</v>
      </c>
      <c r="L502" t="str">
        <f t="shared" si="42"/>
        <v xml:space="preserve">    category: 'Tables &amp; desks',</v>
      </c>
    </row>
    <row r="503" spans="1:12" x14ac:dyDescent="0.25">
      <c r="A503" t="s">
        <v>457</v>
      </c>
      <c r="H503">
        <f t="shared" si="38"/>
        <v>10</v>
      </c>
      <c r="I503" t="str">
        <f t="shared" si="39"/>
        <v xml:space="preserve">    price:</v>
      </c>
      <c r="J503">
        <f t="shared" si="40"/>
        <v>15</v>
      </c>
      <c r="K503" t="str">
        <f t="shared" si="41"/>
        <v>200</v>
      </c>
      <c r="L503" t="str">
        <f t="shared" si="42"/>
        <v xml:space="preserve">    price: '200',</v>
      </c>
    </row>
    <row r="504" spans="1:12" x14ac:dyDescent="0.25">
      <c r="A504" t="s">
        <v>458</v>
      </c>
      <c r="H504">
        <f t="shared" si="38"/>
        <v>16</v>
      </c>
      <c r="I504" t="str">
        <f t="shared" si="39"/>
        <v xml:space="preserve">    description:</v>
      </c>
      <c r="J504">
        <f t="shared" si="40"/>
        <v>40</v>
      </c>
      <c r="K504" t="str">
        <f t="shared" si="41"/>
        <v>Add-on unit, 120x10 cm</v>
      </c>
      <c r="L504" t="str">
        <f t="shared" si="42"/>
        <v xml:space="preserve">    description: 'Add-on unit, 120x10 cm',</v>
      </c>
    </row>
    <row r="505" spans="1:12" x14ac:dyDescent="0.25">
      <c r="A505" t="s">
        <v>459</v>
      </c>
      <c r="H505">
        <f t="shared" si="38"/>
        <v>13</v>
      </c>
      <c r="I505" t="str">
        <f t="shared" si="39"/>
        <v xml:space="preserve">    designer:</v>
      </c>
      <c r="J505">
        <f t="shared" si="40"/>
        <v>29</v>
      </c>
      <c r="K505" t="str">
        <f t="shared" si="41"/>
        <v>Johanna Asshof</v>
      </c>
      <c r="L505" t="str">
        <f t="shared" si="42"/>
        <v xml:space="preserve">    designer: 'Johanna Asshof',</v>
      </c>
    </row>
    <row r="506" spans="1:12" x14ac:dyDescent="0.25">
      <c r="A506" t="s">
        <v>522</v>
      </c>
      <c r="H506" t="e">
        <f t="shared" si="38"/>
        <v>#VALUE!</v>
      </c>
      <c r="I506" t="e">
        <f t="shared" si="39"/>
        <v>#VALUE!</v>
      </c>
      <c r="J506">
        <f t="shared" si="40"/>
        <v>4</v>
      </c>
      <c r="K506" t="e">
        <f t="shared" si="41"/>
        <v>#VALUE!</v>
      </c>
      <c r="L506" t="str">
        <f>A506</f>
        <v xml:space="preserve">  },</v>
      </c>
    </row>
    <row r="507" spans="1:12" x14ac:dyDescent="0.25">
      <c r="A507" t="s">
        <v>238</v>
      </c>
      <c r="H507" t="e">
        <f t="shared" si="38"/>
        <v>#VALUE!</v>
      </c>
      <c r="I507" t="e">
        <f t="shared" si="39"/>
        <v>#VALUE!</v>
      </c>
      <c r="J507">
        <f t="shared" si="40"/>
        <v>3</v>
      </c>
      <c r="K507" t="e">
        <f t="shared" si="41"/>
        <v>#VALUE!</v>
      </c>
      <c r="L507" t="str">
        <f>A507</f>
        <v xml:space="preserve">  {</v>
      </c>
    </row>
    <row r="508" spans="1:12" x14ac:dyDescent="0.25">
      <c r="A508" t="s">
        <v>460</v>
      </c>
      <c r="H508">
        <f t="shared" si="38"/>
        <v>9</v>
      </c>
      <c r="I508" t="str">
        <f t="shared" si="39"/>
        <v xml:space="preserve">    guid:</v>
      </c>
      <c r="J508">
        <f t="shared" si="40"/>
        <v>47</v>
      </c>
      <c r="K508" t="str">
        <f t="shared" si="41"/>
        <v>da5ba7f4-1a2d-99aa-7838-e04e0f27f829</v>
      </c>
      <c r="L508" t="str">
        <f t="shared" si="42"/>
        <v xml:space="preserve">    guid: 'da5ba7f4-1a2d-99aa-7838-e04e0f27f829',</v>
      </c>
    </row>
    <row r="509" spans="1:12" x14ac:dyDescent="0.25">
      <c r="A509" t="s">
        <v>461</v>
      </c>
      <c r="H509">
        <f t="shared" si="38"/>
        <v>9</v>
      </c>
      <c r="I509" t="str">
        <f t="shared" si="39"/>
        <v xml:space="preserve">    name:</v>
      </c>
      <c r="J509">
        <f t="shared" si="40"/>
        <v>25</v>
      </c>
      <c r="K509" t="str">
        <f t="shared" si="41"/>
        <v>LINNMON / ALEX</v>
      </c>
      <c r="L509" t="str">
        <f t="shared" si="42"/>
        <v xml:space="preserve">    name: 'LINNMON / ALEX',</v>
      </c>
    </row>
    <row r="510" spans="1:12" x14ac:dyDescent="0.25">
      <c r="A510" t="s">
        <v>449</v>
      </c>
      <c r="H510">
        <f t="shared" si="38"/>
        <v>13</v>
      </c>
      <c r="I510" t="str">
        <f t="shared" si="39"/>
        <v xml:space="preserve">    category:</v>
      </c>
      <c r="J510">
        <f t="shared" si="40"/>
        <v>29</v>
      </c>
      <c r="K510" t="str">
        <f t="shared" si="41"/>
        <v>Tables &amp; desks</v>
      </c>
      <c r="L510" t="str">
        <f t="shared" si="42"/>
        <v xml:space="preserve">    category: 'Tables &amp; desks',</v>
      </c>
    </row>
    <row r="511" spans="1:12" x14ac:dyDescent="0.25">
      <c r="A511" t="s">
        <v>462</v>
      </c>
      <c r="H511">
        <f t="shared" si="38"/>
        <v>10</v>
      </c>
      <c r="I511" t="str">
        <f t="shared" si="39"/>
        <v xml:space="preserve">    price:</v>
      </c>
      <c r="J511">
        <f t="shared" si="40"/>
        <v>15</v>
      </c>
      <c r="K511" t="str">
        <f t="shared" si="41"/>
        <v>550</v>
      </c>
      <c r="L511" t="str">
        <f t="shared" si="42"/>
        <v xml:space="preserve">    price: '550',</v>
      </c>
    </row>
    <row r="512" spans="1:12" x14ac:dyDescent="0.25">
      <c r="A512" t="s">
        <v>463</v>
      </c>
      <c r="H512">
        <f t="shared" si="38"/>
        <v>16</v>
      </c>
      <c r="I512" t="str">
        <f t="shared" si="39"/>
        <v xml:space="preserve">    description:</v>
      </c>
      <c r="J512">
        <f t="shared" si="40"/>
        <v>34</v>
      </c>
      <c r="K512" t="str">
        <f t="shared" si="41"/>
        <v>Table, 150x75 cm</v>
      </c>
      <c r="L512" t="str">
        <f t="shared" si="42"/>
        <v xml:space="preserve">    description: 'Table, 150x75 cm',</v>
      </c>
    </row>
    <row r="513" spans="1:12" x14ac:dyDescent="0.25">
      <c r="A513" t="s">
        <v>464</v>
      </c>
      <c r="H513">
        <f t="shared" si="38"/>
        <v>13</v>
      </c>
      <c r="I513" t="str">
        <f t="shared" si="39"/>
        <v xml:space="preserve">    designer:</v>
      </c>
      <c r="J513">
        <f t="shared" si="40"/>
        <v>44</v>
      </c>
      <c r="K513" t="str">
        <f t="shared" si="41"/>
        <v>IKEA of Sweden/Johanna Asshof</v>
      </c>
      <c r="L513" t="str">
        <f t="shared" si="42"/>
        <v xml:space="preserve">    designer: 'IKEA of Sweden/Johanna Asshof',</v>
      </c>
    </row>
    <row r="514" spans="1:12" x14ac:dyDescent="0.25">
      <c r="A514" t="s">
        <v>522</v>
      </c>
      <c r="H514" t="e">
        <f t="shared" si="38"/>
        <v>#VALUE!</v>
      </c>
      <c r="I514" t="e">
        <f t="shared" si="39"/>
        <v>#VALUE!</v>
      </c>
      <c r="J514">
        <f t="shared" si="40"/>
        <v>4</v>
      </c>
      <c r="K514" t="e">
        <f t="shared" si="41"/>
        <v>#VALUE!</v>
      </c>
      <c r="L514" t="str">
        <f>A514</f>
        <v xml:space="preserve">  },</v>
      </c>
    </row>
    <row r="515" spans="1:12" x14ac:dyDescent="0.25">
      <c r="A515" t="s">
        <v>238</v>
      </c>
      <c r="H515" t="e">
        <f t="shared" si="38"/>
        <v>#VALUE!</v>
      </c>
      <c r="I515" t="e">
        <f t="shared" si="39"/>
        <v>#VALUE!</v>
      </c>
      <c r="J515">
        <f t="shared" si="40"/>
        <v>3</v>
      </c>
      <c r="K515" t="e">
        <f t="shared" si="41"/>
        <v>#VALUE!</v>
      </c>
      <c r="L515" t="str">
        <f>A515</f>
        <v xml:space="preserve">  {</v>
      </c>
    </row>
    <row r="516" spans="1:12" x14ac:dyDescent="0.25">
      <c r="A516" t="s">
        <v>465</v>
      </c>
      <c r="H516">
        <f t="shared" si="38"/>
        <v>9</v>
      </c>
      <c r="I516" t="str">
        <f t="shared" si="39"/>
        <v xml:space="preserve">    guid:</v>
      </c>
      <c r="J516">
        <f t="shared" si="40"/>
        <v>47</v>
      </c>
      <c r="K516" t="str">
        <f t="shared" si="41"/>
        <v>67f88f13-de43-7a28-5571-175b773f243c</v>
      </c>
      <c r="L516" t="str">
        <f t="shared" si="42"/>
        <v xml:space="preserve">    guid: '67f88f13-de43-7a28-5571-175b773f243c',</v>
      </c>
    </row>
    <row r="517" spans="1:12" x14ac:dyDescent="0.25">
      <c r="A517" t="s">
        <v>466</v>
      </c>
      <c r="H517">
        <f t="shared" ref="H517:H580" si="43">SEARCH(":",A517)</f>
        <v>9</v>
      </c>
      <c r="I517" t="str">
        <f t="shared" ref="I517:I580" si="44">LOWER(LEFT(A517,H517))</f>
        <v xml:space="preserve">    name:</v>
      </c>
      <c r="J517">
        <f t="shared" ref="J517:J580" si="45">LEN(A517)</f>
        <v>26</v>
      </c>
      <c r="K517" t="str">
        <f t="shared" ref="K517:K580" si="46">MID(A517,H517+2,J517-H517-2)</f>
        <v>MELLTORP / ADDE</v>
      </c>
      <c r="L517" t="str">
        <f t="shared" ref="L517:L580" si="47">_xlfn.CONCAT(I517," '",K517,"'",",")</f>
        <v xml:space="preserve">    name: 'MELLTORP / ADDE',</v>
      </c>
    </row>
    <row r="518" spans="1:12" x14ac:dyDescent="0.25">
      <c r="A518" t="s">
        <v>449</v>
      </c>
      <c r="H518">
        <f t="shared" si="43"/>
        <v>13</v>
      </c>
      <c r="I518" t="str">
        <f t="shared" si="44"/>
        <v xml:space="preserve">    category:</v>
      </c>
      <c r="J518">
        <f t="shared" si="45"/>
        <v>29</v>
      </c>
      <c r="K518" t="str">
        <f t="shared" si="46"/>
        <v>Tables &amp; desks</v>
      </c>
      <c r="L518" t="str">
        <f t="shared" si="47"/>
        <v xml:space="preserve">    category: 'Tables &amp; desks',</v>
      </c>
    </row>
    <row r="519" spans="1:12" x14ac:dyDescent="0.25">
      <c r="A519" t="s">
        <v>467</v>
      </c>
      <c r="H519">
        <f t="shared" si="43"/>
        <v>10</v>
      </c>
      <c r="I519" t="str">
        <f t="shared" si="44"/>
        <v xml:space="preserve">    price:</v>
      </c>
      <c r="J519">
        <f t="shared" si="45"/>
        <v>15</v>
      </c>
      <c r="K519" t="str">
        <f t="shared" si="46"/>
        <v>359</v>
      </c>
      <c r="L519" t="str">
        <f t="shared" si="47"/>
        <v xml:space="preserve">    price: '359',</v>
      </c>
    </row>
    <row r="520" spans="1:12" x14ac:dyDescent="0.25">
      <c r="A520" t="s">
        <v>468</v>
      </c>
      <c r="H520">
        <f t="shared" si="43"/>
        <v>16</v>
      </c>
      <c r="I520" t="str">
        <f t="shared" si="44"/>
        <v xml:space="preserve">    description:</v>
      </c>
      <c r="J520">
        <f t="shared" si="45"/>
        <v>44</v>
      </c>
      <c r="K520" t="str">
        <f t="shared" si="46"/>
        <v>Table and 4 chairs, 125 cm</v>
      </c>
      <c r="L520" t="str">
        <f t="shared" si="47"/>
        <v xml:space="preserve">    description: 'Table and 4 chairs, 125 cm',</v>
      </c>
    </row>
    <row r="521" spans="1:12" x14ac:dyDescent="0.25">
      <c r="A521" t="s">
        <v>469</v>
      </c>
      <c r="H521">
        <f t="shared" si="43"/>
        <v>13</v>
      </c>
      <c r="I521" t="str">
        <f t="shared" si="44"/>
        <v xml:space="preserve">    designer:</v>
      </c>
      <c r="J521">
        <f t="shared" si="45"/>
        <v>42</v>
      </c>
      <c r="K521" t="str">
        <f t="shared" si="46"/>
        <v>Marcus Arvonen/Lisa Norinde</v>
      </c>
      <c r="L521" t="str">
        <f t="shared" si="47"/>
        <v xml:space="preserve">    designer: 'Marcus Arvonen/Lisa Norinde',</v>
      </c>
    </row>
    <row r="522" spans="1:12" x14ac:dyDescent="0.25">
      <c r="A522" t="s">
        <v>522</v>
      </c>
      <c r="H522" t="e">
        <f t="shared" si="43"/>
        <v>#VALUE!</v>
      </c>
      <c r="I522" t="e">
        <f t="shared" si="44"/>
        <v>#VALUE!</v>
      </c>
      <c r="J522">
        <f t="shared" si="45"/>
        <v>4</v>
      </c>
      <c r="K522" t="e">
        <f t="shared" si="46"/>
        <v>#VALUE!</v>
      </c>
      <c r="L522" t="str">
        <f>A522</f>
        <v xml:space="preserve">  },</v>
      </c>
    </row>
    <row r="523" spans="1:12" x14ac:dyDescent="0.25">
      <c r="A523" t="s">
        <v>238</v>
      </c>
      <c r="H523" t="e">
        <f t="shared" si="43"/>
        <v>#VALUE!</v>
      </c>
      <c r="I523" t="e">
        <f t="shared" si="44"/>
        <v>#VALUE!</v>
      </c>
      <c r="J523">
        <f t="shared" si="45"/>
        <v>3</v>
      </c>
      <c r="K523" t="e">
        <f t="shared" si="46"/>
        <v>#VALUE!</v>
      </c>
      <c r="L523" t="str">
        <f>A523</f>
        <v xml:space="preserve">  {</v>
      </c>
    </row>
    <row r="524" spans="1:12" x14ac:dyDescent="0.25">
      <c r="A524" t="s">
        <v>470</v>
      </c>
      <c r="H524">
        <f t="shared" si="43"/>
        <v>9</v>
      </c>
      <c r="I524" t="str">
        <f t="shared" si="44"/>
        <v xml:space="preserve">    guid:</v>
      </c>
      <c r="J524">
        <f t="shared" si="45"/>
        <v>47</v>
      </c>
      <c r="K524" t="str">
        <f t="shared" si="46"/>
        <v>cf2ea24b-cb2b-7388-9118-d51044cd7db6</v>
      </c>
      <c r="L524" t="str">
        <f t="shared" si="47"/>
        <v xml:space="preserve">    guid: 'cf2ea24b-cb2b-7388-9118-d51044cd7db6',</v>
      </c>
    </row>
    <row r="525" spans="1:12" x14ac:dyDescent="0.25">
      <c r="A525" t="s">
        <v>306</v>
      </c>
      <c r="H525">
        <f t="shared" si="43"/>
        <v>9</v>
      </c>
      <c r="I525" t="str">
        <f t="shared" si="44"/>
        <v xml:space="preserve">    name:</v>
      </c>
      <c r="J525">
        <f t="shared" si="45"/>
        <v>17</v>
      </c>
      <c r="K525" t="str">
        <f t="shared" si="46"/>
        <v>HEMNES</v>
      </c>
      <c r="L525" t="str">
        <f t="shared" si="47"/>
        <v xml:space="preserve">    name: 'HEMNES',</v>
      </c>
    </row>
    <row r="526" spans="1:12" x14ac:dyDescent="0.25">
      <c r="A526" t="s">
        <v>449</v>
      </c>
      <c r="H526">
        <f t="shared" si="43"/>
        <v>13</v>
      </c>
      <c r="I526" t="str">
        <f t="shared" si="44"/>
        <v xml:space="preserve">    category:</v>
      </c>
      <c r="J526">
        <f t="shared" si="45"/>
        <v>29</v>
      </c>
      <c r="K526" t="str">
        <f t="shared" si="46"/>
        <v>Tables &amp; desks</v>
      </c>
      <c r="L526" t="str">
        <f t="shared" si="47"/>
        <v xml:space="preserve">    category: 'Tables &amp; desks',</v>
      </c>
    </row>
    <row r="527" spans="1:12" x14ac:dyDescent="0.25">
      <c r="A527" t="s">
        <v>310</v>
      </c>
      <c r="H527">
        <f t="shared" si="43"/>
        <v>10</v>
      </c>
      <c r="I527" t="str">
        <f t="shared" si="44"/>
        <v xml:space="preserve">    price:</v>
      </c>
      <c r="J527">
        <f t="shared" si="45"/>
        <v>15</v>
      </c>
      <c r="K527" t="str">
        <f t="shared" si="46"/>
        <v>595</v>
      </c>
      <c r="L527" t="str">
        <f t="shared" si="47"/>
        <v xml:space="preserve">    price: '595',</v>
      </c>
    </row>
    <row r="528" spans="1:12" x14ac:dyDescent="0.25">
      <c r="A528" t="s">
        <v>471</v>
      </c>
      <c r="H528">
        <f t="shared" si="43"/>
        <v>16</v>
      </c>
      <c r="I528" t="str">
        <f t="shared" si="44"/>
        <v xml:space="preserve">    description:</v>
      </c>
      <c r="J528">
        <f t="shared" si="45"/>
        <v>55</v>
      </c>
      <c r="K528" t="str">
        <f t="shared" si="46"/>
        <v>Dressing table with mirror, 100x50 cm</v>
      </c>
      <c r="L528" t="str">
        <f t="shared" si="47"/>
        <v xml:space="preserve">    description: 'Dressing table with mirror, 100x50 cm',</v>
      </c>
    </row>
    <row r="529" spans="1:12" x14ac:dyDescent="0.25">
      <c r="A529" t="s">
        <v>270</v>
      </c>
      <c r="H529">
        <f t="shared" si="43"/>
        <v>13</v>
      </c>
      <c r="I529" t="str">
        <f t="shared" si="44"/>
        <v xml:space="preserve">    designer:</v>
      </c>
      <c r="J529">
        <f t="shared" si="45"/>
        <v>26</v>
      </c>
      <c r="K529" t="str">
        <f t="shared" si="46"/>
        <v>Carina Beng</v>
      </c>
      <c r="L529" t="str">
        <f t="shared" si="47"/>
        <v xml:space="preserve">    designer: 'Carina Beng',</v>
      </c>
    </row>
    <row r="530" spans="1:12" x14ac:dyDescent="0.25">
      <c r="A530" t="s">
        <v>522</v>
      </c>
      <c r="H530" t="e">
        <f t="shared" si="43"/>
        <v>#VALUE!</v>
      </c>
      <c r="I530" t="e">
        <f t="shared" si="44"/>
        <v>#VALUE!</v>
      </c>
      <c r="J530">
        <f t="shared" si="45"/>
        <v>4</v>
      </c>
      <c r="K530" t="e">
        <f t="shared" si="46"/>
        <v>#VALUE!</v>
      </c>
      <c r="L530" t="str">
        <f>A530</f>
        <v xml:space="preserve">  },</v>
      </c>
    </row>
    <row r="531" spans="1:12" x14ac:dyDescent="0.25">
      <c r="A531" t="s">
        <v>238</v>
      </c>
      <c r="H531" t="e">
        <f t="shared" si="43"/>
        <v>#VALUE!</v>
      </c>
      <c r="I531" t="e">
        <f t="shared" si="44"/>
        <v>#VALUE!</v>
      </c>
      <c r="J531">
        <f t="shared" si="45"/>
        <v>3</v>
      </c>
      <c r="K531" t="e">
        <f t="shared" si="46"/>
        <v>#VALUE!</v>
      </c>
      <c r="L531" t="str">
        <f>A531</f>
        <v xml:space="preserve">  {</v>
      </c>
    </row>
    <row r="532" spans="1:12" x14ac:dyDescent="0.25">
      <c r="A532" t="s">
        <v>472</v>
      </c>
      <c r="H532">
        <f t="shared" si="43"/>
        <v>9</v>
      </c>
      <c r="I532" t="str">
        <f t="shared" si="44"/>
        <v xml:space="preserve">    guid:</v>
      </c>
      <c r="J532">
        <f t="shared" si="45"/>
        <v>47</v>
      </c>
      <c r="K532" t="str">
        <f t="shared" si="46"/>
        <v>e1ed5665-38f3-10de-dd20-4fd6aa8118f5</v>
      </c>
      <c r="L532" t="str">
        <f t="shared" si="47"/>
        <v xml:space="preserve">    guid: 'e1ed5665-38f3-10de-dd20-4fd6aa8118f5',</v>
      </c>
    </row>
    <row r="533" spans="1:12" x14ac:dyDescent="0.25">
      <c r="A533" t="s">
        <v>473</v>
      </c>
      <c r="H533">
        <f t="shared" si="43"/>
        <v>9</v>
      </c>
      <c r="I533" t="str">
        <f t="shared" si="44"/>
        <v xml:space="preserve">    name:</v>
      </c>
      <c r="J533">
        <f t="shared" si="45"/>
        <v>26</v>
      </c>
      <c r="K533" t="str">
        <f t="shared" si="46"/>
        <v>LINNMON / ADILS</v>
      </c>
      <c r="L533" t="str">
        <f t="shared" si="47"/>
        <v xml:space="preserve">    name: 'LINNMON / ADILS',</v>
      </c>
    </row>
    <row r="534" spans="1:12" x14ac:dyDescent="0.25">
      <c r="A534" t="s">
        <v>449</v>
      </c>
      <c r="H534">
        <f t="shared" si="43"/>
        <v>13</v>
      </c>
      <c r="I534" t="str">
        <f t="shared" si="44"/>
        <v xml:space="preserve">    category:</v>
      </c>
      <c r="J534">
        <f t="shared" si="45"/>
        <v>29</v>
      </c>
      <c r="K534" t="str">
        <f t="shared" si="46"/>
        <v>Tables &amp; desks</v>
      </c>
      <c r="L534" t="str">
        <f t="shared" si="47"/>
        <v xml:space="preserve">    category: 'Tables &amp; desks',</v>
      </c>
    </row>
    <row r="535" spans="1:12" x14ac:dyDescent="0.25">
      <c r="A535" t="s">
        <v>474</v>
      </c>
      <c r="H535">
        <f t="shared" si="43"/>
        <v>10</v>
      </c>
      <c r="I535" t="str">
        <f t="shared" si="44"/>
        <v xml:space="preserve">    price:</v>
      </c>
      <c r="J535">
        <f t="shared" si="45"/>
        <v>15</v>
      </c>
      <c r="K535" t="str">
        <f t="shared" si="46"/>
        <v>300</v>
      </c>
      <c r="L535" t="str">
        <f t="shared" si="47"/>
        <v xml:space="preserve">    price: '300',</v>
      </c>
    </row>
    <row r="536" spans="1:12" x14ac:dyDescent="0.25">
      <c r="A536" t="s">
        <v>475</v>
      </c>
      <c r="H536">
        <f t="shared" si="43"/>
        <v>16</v>
      </c>
      <c r="I536" t="str">
        <f t="shared" si="44"/>
        <v xml:space="preserve">    description:</v>
      </c>
      <c r="J536">
        <f t="shared" si="45"/>
        <v>34</v>
      </c>
      <c r="K536" t="str">
        <f t="shared" si="46"/>
        <v>Table, 200x60 cm</v>
      </c>
      <c r="L536" t="str">
        <f t="shared" si="47"/>
        <v xml:space="preserve">    description: 'Table, 200x60 cm',</v>
      </c>
    </row>
    <row r="537" spans="1:12" x14ac:dyDescent="0.25">
      <c r="A537" t="s">
        <v>341</v>
      </c>
      <c r="H537">
        <f t="shared" si="43"/>
        <v>13</v>
      </c>
      <c r="I537" t="str">
        <f t="shared" si="44"/>
        <v xml:space="preserve">    designer:</v>
      </c>
      <c r="J537">
        <f t="shared" si="45"/>
        <v>28</v>
      </c>
      <c r="K537" t="str">
        <f t="shared" si="46"/>
        <v>IKEA of Swede</v>
      </c>
      <c r="L537" t="str">
        <f t="shared" si="47"/>
        <v xml:space="preserve">    designer: 'IKEA of Swede',</v>
      </c>
    </row>
    <row r="538" spans="1:12" x14ac:dyDescent="0.25">
      <c r="A538" t="s">
        <v>522</v>
      </c>
      <c r="H538" t="e">
        <f t="shared" si="43"/>
        <v>#VALUE!</v>
      </c>
      <c r="I538" t="e">
        <f t="shared" si="44"/>
        <v>#VALUE!</v>
      </c>
      <c r="J538">
        <f t="shared" si="45"/>
        <v>4</v>
      </c>
      <c r="K538" t="e">
        <f t="shared" si="46"/>
        <v>#VALUE!</v>
      </c>
      <c r="L538" t="str">
        <f>A538</f>
        <v xml:space="preserve">  },</v>
      </c>
    </row>
    <row r="539" spans="1:12" x14ac:dyDescent="0.25">
      <c r="A539" t="s">
        <v>238</v>
      </c>
      <c r="H539" t="e">
        <f t="shared" si="43"/>
        <v>#VALUE!</v>
      </c>
      <c r="I539" t="e">
        <f t="shared" si="44"/>
        <v>#VALUE!</v>
      </c>
      <c r="J539">
        <f t="shared" si="45"/>
        <v>3</v>
      </c>
      <c r="K539" t="e">
        <f t="shared" si="46"/>
        <v>#VALUE!</v>
      </c>
      <c r="L539" t="str">
        <f>A539</f>
        <v xml:space="preserve">  {</v>
      </c>
    </row>
    <row r="540" spans="1:12" x14ac:dyDescent="0.25">
      <c r="A540" t="s">
        <v>476</v>
      </c>
      <c r="H540">
        <f t="shared" si="43"/>
        <v>9</v>
      </c>
      <c r="I540" t="str">
        <f t="shared" si="44"/>
        <v xml:space="preserve">    guid:</v>
      </c>
      <c r="J540">
        <f t="shared" si="45"/>
        <v>47</v>
      </c>
      <c r="K540" t="str">
        <f t="shared" si="46"/>
        <v>e3c1e74c-23e1-dbf9-30dc-b9e6d1b4277f</v>
      </c>
      <c r="L540" t="str">
        <f t="shared" si="47"/>
        <v xml:space="preserve">    guid: 'e3c1e74c-23e1-dbf9-30dc-b9e6d1b4277f',</v>
      </c>
    </row>
    <row r="541" spans="1:12" x14ac:dyDescent="0.25">
      <c r="A541" t="s">
        <v>456</v>
      </c>
      <c r="H541">
        <f t="shared" si="43"/>
        <v>9</v>
      </c>
      <c r="I541" t="str">
        <f t="shared" si="44"/>
        <v xml:space="preserve">    name:</v>
      </c>
      <c r="J541">
        <f t="shared" si="45"/>
        <v>15</v>
      </c>
      <c r="K541" t="str">
        <f t="shared" si="46"/>
        <v>ALEX</v>
      </c>
      <c r="L541" t="str">
        <f t="shared" si="47"/>
        <v xml:space="preserve">    name: 'ALEX',</v>
      </c>
    </row>
    <row r="542" spans="1:12" x14ac:dyDescent="0.25">
      <c r="A542" t="s">
        <v>449</v>
      </c>
      <c r="H542">
        <f t="shared" si="43"/>
        <v>13</v>
      </c>
      <c r="I542" t="str">
        <f t="shared" si="44"/>
        <v xml:space="preserve">    category:</v>
      </c>
      <c r="J542">
        <f t="shared" si="45"/>
        <v>29</v>
      </c>
      <c r="K542" t="str">
        <f t="shared" si="46"/>
        <v>Tables &amp; desks</v>
      </c>
      <c r="L542" t="str">
        <f t="shared" si="47"/>
        <v xml:space="preserve">    category: 'Tables &amp; desks',</v>
      </c>
    </row>
    <row r="543" spans="1:12" x14ac:dyDescent="0.25">
      <c r="A543" t="s">
        <v>289</v>
      </c>
      <c r="H543">
        <f t="shared" si="43"/>
        <v>10</v>
      </c>
      <c r="I543" t="str">
        <f t="shared" si="44"/>
        <v xml:space="preserve">    price:</v>
      </c>
      <c r="J543">
        <f t="shared" si="45"/>
        <v>15</v>
      </c>
      <c r="K543" t="str">
        <f t="shared" si="46"/>
        <v>795</v>
      </c>
      <c r="L543" t="str">
        <f t="shared" si="47"/>
        <v xml:space="preserve">    price: '795',</v>
      </c>
    </row>
    <row r="544" spans="1:12" x14ac:dyDescent="0.25">
      <c r="A544" t="s">
        <v>477</v>
      </c>
      <c r="H544">
        <f t="shared" si="43"/>
        <v>16</v>
      </c>
      <c r="I544" t="str">
        <f t="shared" si="44"/>
        <v xml:space="preserve">    description:</v>
      </c>
      <c r="J544">
        <f t="shared" si="45"/>
        <v>33</v>
      </c>
      <c r="K544" t="str">
        <f t="shared" si="46"/>
        <v>Desk, 131x60 cm</v>
      </c>
      <c r="L544" t="str">
        <f t="shared" si="47"/>
        <v xml:space="preserve">    description: 'Desk, 131x60 cm',</v>
      </c>
    </row>
    <row r="545" spans="1:12" x14ac:dyDescent="0.25">
      <c r="A545" t="s">
        <v>459</v>
      </c>
      <c r="H545">
        <f t="shared" si="43"/>
        <v>13</v>
      </c>
      <c r="I545" t="str">
        <f t="shared" si="44"/>
        <v xml:space="preserve">    designer:</v>
      </c>
      <c r="J545">
        <f t="shared" si="45"/>
        <v>29</v>
      </c>
      <c r="K545" t="str">
        <f t="shared" si="46"/>
        <v>Johanna Asshof</v>
      </c>
      <c r="L545" t="str">
        <f t="shared" si="47"/>
        <v xml:space="preserve">    designer: 'Johanna Asshof',</v>
      </c>
    </row>
    <row r="546" spans="1:12" x14ac:dyDescent="0.25">
      <c r="A546" t="s">
        <v>522</v>
      </c>
      <c r="H546" t="e">
        <f t="shared" si="43"/>
        <v>#VALUE!</v>
      </c>
      <c r="I546" t="e">
        <f t="shared" si="44"/>
        <v>#VALUE!</v>
      </c>
      <c r="J546">
        <f t="shared" si="45"/>
        <v>4</v>
      </c>
      <c r="K546" t="e">
        <f t="shared" si="46"/>
        <v>#VALUE!</v>
      </c>
      <c r="L546" t="str">
        <f>A546</f>
        <v xml:space="preserve">  },</v>
      </c>
    </row>
    <row r="547" spans="1:12" x14ac:dyDescent="0.25">
      <c r="A547" t="s">
        <v>238</v>
      </c>
      <c r="H547" t="e">
        <f t="shared" si="43"/>
        <v>#VALUE!</v>
      </c>
      <c r="I547" t="e">
        <f t="shared" si="44"/>
        <v>#VALUE!</v>
      </c>
      <c r="J547">
        <f t="shared" si="45"/>
        <v>3</v>
      </c>
      <c r="K547" t="e">
        <f t="shared" si="46"/>
        <v>#VALUE!</v>
      </c>
      <c r="L547" t="str">
        <f>A547</f>
        <v xml:space="preserve">  {</v>
      </c>
    </row>
    <row r="548" spans="1:12" x14ac:dyDescent="0.25">
      <c r="A548" t="s">
        <v>478</v>
      </c>
      <c r="H548">
        <f t="shared" si="43"/>
        <v>9</v>
      </c>
      <c r="I548" t="str">
        <f t="shared" si="44"/>
        <v xml:space="preserve">    guid:</v>
      </c>
      <c r="J548">
        <f t="shared" si="45"/>
        <v>47</v>
      </c>
      <c r="K548" t="str">
        <f t="shared" si="46"/>
        <v>ef930011-8ad8-b1eb-38a3-3a70cf8036cd</v>
      </c>
      <c r="L548" t="str">
        <f t="shared" si="47"/>
        <v xml:space="preserve">    guid: 'ef930011-8ad8-b1eb-38a3-3a70cf8036cd',</v>
      </c>
    </row>
    <row r="549" spans="1:12" x14ac:dyDescent="0.25">
      <c r="A549" t="s">
        <v>479</v>
      </c>
      <c r="H549">
        <f t="shared" si="43"/>
        <v>9</v>
      </c>
      <c r="I549" t="str">
        <f t="shared" si="44"/>
        <v xml:space="preserve">    name:</v>
      </c>
      <c r="J549">
        <f t="shared" si="45"/>
        <v>17</v>
      </c>
      <c r="K549" t="str">
        <f t="shared" si="46"/>
        <v>BURVIK</v>
      </c>
      <c r="L549" t="str">
        <f t="shared" si="47"/>
        <v xml:space="preserve">    name: 'BURVIK',</v>
      </c>
    </row>
    <row r="550" spans="1:12" x14ac:dyDescent="0.25">
      <c r="A550" t="s">
        <v>449</v>
      </c>
      <c r="H550">
        <f t="shared" si="43"/>
        <v>13</v>
      </c>
      <c r="I550" t="str">
        <f t="shared" si="44"/>
        <v xml:space="preserve">    category:</v>
      </c>
      <c r="J550">
        <f t="shared" si="45"/>
        <v>29</v>
      </c>
      <c r="K550" t="str">
        <f t="shared" si="46"/>
        <v>Tables &amp; desks</v>
      </c>
      <c r="L550" t="str">
        <f t="shared" si="47"/>
        <v xml:space="preserve">    category: 'Tables &amp; desks',</v>
      </c>
    </row>
    <row r="551" spans="1:12" x14ac:dyDescent="0.25">
      <c r="A551" t="s">
        <v>273</v>
      </c>
      <c r="H551">
        <f t="shared" si="43"/>
        <v>10</v>
      </c>
      <c r="I551" t="str">
        <f t="shared" si="44"/>
        <v xml:space="preserve">    price:</v>
      </c>
      <c r="J551">
        <f t="shared" si="45"/>
        <v>15</v>
      </c>
      <c r="K551" t="str">
        <f t="shared" si="46"/>
        <v>129</v>
      </c>
      <c r="L551" t="str">
        <f t="shared" si="47"/>
        <v xml:space="preserve">    price: '129',</v>
      </c>
    </row>
    <row r="552" spans="1:12" x14ac:dyDescent="0.25">
      <c r="A552" t="s">
        <v>480</v>
      </c>
      <c r="H552">
        <f t="shared" si="43"/>
        <v>16</v>
      </c>
      <c r="I552" t="str">
        <f t="shared" si="44"/>
        <v xml:space="preserve">    description:</v>
      </c>
      <c r="J552">
        <f t="shared" si="45"/>
        <v>35</v>
      </c>
      <c r="K552" t="str">
        <f t="shared" si="46"/>
        <v>Side table, 38 cm</v>
      </c>
      <c r="L552" t="str">
        <f t="shared" si="47"/>
        <v xml:space="preserve">    description: 'Side table, 38 cm',</v>
      </c>
    </row>
    <row r="553" spans="1:12" x14ac:dyDescent="0.25">
      <c r="A553" t="s">
        <v>481</v>
      </c>
      <c r="H553">
        <f t="shared" si="43"/>
        <v>13</v>
      </c>
      <c r="I553" t="str">
        <f t="shared" si="44"/>
        <v xml:space="preserve">    designer:</v>
      </c>
      <c r="J553">
        <f t="shared" si="45"/>
        <v>29</v>
      </c>
      <c r="K553" t="str">
        <f t="shared" si="46"/>
        <v>Mikael Axelsso</v>
      </c>
      <c r="L553" t="str">
        <f t="shared" si="47"/>
        <v xml:space="preserve">    designer: 'Mikael Axelsso',</v>
      </c>
    </row>
    <row r="554" spans="1:12" x14ac:dyDescent="0.25">
      <c r="A554" t="s">
        <v>522</v>
      </c>
      <c r="H554" t="e">
        <f t="shared" si="43"/>
        <v>#VALUE!</v>
      </c>
      <c r="I554" t="e">
        <f t="shared" si="44"/>
        <v>#VALUE!</v>
      </c>
      <c r="J554">
        <f t="shared" si="45"/>
        <v>4</v>
      </c>
      <c r="K554" t="e">
        <f t="shared" si="46"/>
        <v>#VALUE!</v>
      </c>
      <c r="L554" t="str">
        <f>A554</f>
        <v xml:space="preserve">  },</v>
      </c>
    </row>
    <row r="555" spans="1:12" x14ac:dyDescent="0.25">
      <c r="A555" t="s">
        <v>238</v>
      </c>
      <c r="H555" t="e">
        <f t="shared" si="43"/>
        <v>#VALUE!</v>
      </c>
      <c r="I555" t="e">
        <f t="shared" si="44"/>
        <v>#VALUE!</v>
      </c>
      <c r="J555">
        <f t="shared" si="45"/>
        <v>3</v>
      </c>
      <c r="K555" t="e">
        <f t="shared" si="46"/>
        <v>#VALUE!</v>
      </c>
      <c r="L555" t="str">
        <f>A555</f>
        <v xml:space="preserve">  {</v>
      </c>
    </row>
    <row r="556" spans="1:12" x14ac:dyDescent="0.25">
      <c r="A556" t="s">
        <v>482</v>
      </c>
      <c r="H556">
        <f t="shared" si="43"/>
        <v>9</v>
      </c>
      <c r="I556" t="str">
        <f t="shared" si="44"/>
        <v xml:space="preserve">    guid:</v>
      </c>
      <c r="J556">
        <f t="shared" si="45"/>
        <v>47</v>
      </c>
      <c r="K556" t="str">
        <f t="shared" si="46"/>
        <v>e0f850c7-2688-9bc3-18d1-d66ff5c141e2</v>
      </c>
      <c r="L556" t="str">
        <f t="shared" si="47"/>
        <v xml:space="preserve">    guid: 'e0f850c7-2688-9bc3-18d1-d66ff5c141e2',</v>
      </c>
    </row>
    <row r="557" spans="1:12" x14ac:dyDescent="0.25">
      <c r="A557" t="s">
        <v>483</v>
      </c>
      <c r="H557">
        <f t="shared" si="43"/>
        <v>9</v>
      </c>
      <c r="I557" t="str">
        <f t="shared" si="44"/>
        <v xml:space="preserve">    name:</v>
      </c>
      <c r="J557">
        <f t="shared" si="45"/>
        <v>18</v>
      </c>
      <c r="K557" t="str">
        <f t="shared" si="46"/>
        <v>LIATORP</v>
      </c>
      <c r="L557" t="str">
        <f t="shared" si="47"/>
        <v xml:space="preserve">    name: 'LIATORP',</v>
      </c>
    </row>
    <row r="558" spans="1:12" x14ac:dyDescent="0.25">
      <c r="A558" t="s">
        <v>449</v>
      </c>
      <c r="H558">
        <f t="shared" si="43"/>
        <v>13</v>
      </c>
      <c r="I558" t="str">
        <f t="shared" si="44"/>
        <v xml:space="preserve">    category:</v>
      </c>
      <c r="J558">
        <f t="shared" si="45"/>
        <v>29</v>
      </c>
      <c r="K558" t="str">
        <f t="shared" si="46"/>
        <v>Tables &amp; desks</v>
      </c>
      <c r="L558" t="str">
        <f t="shared" si="47"/>
        <v xml:space="preserve">    category: 'Tables &amp; desks',</v>
      </c>
    </row>
    <row r="559" spans="1:12" x14ac:dyDescent="0.25">
      <c r="A559" t="s">
        <v>324</v>
      </c>
      <c r="H559">
        <f t="shared" si="43"/>
        <v>10</v>
      </c>
      <c r="I559" t="str">
        <f t="shared" si="44"/>
        <v xml:space="preserve">    price:</v>
      </c>
      <c r="J559">
        <f t="shared" si="45"/>
        <v>15</v>
      </c>
      <c r="K559" t="str">
        <f t="shared" si="46"/>
        <v>445</v>
      </c>
      <c r="L559" t="str">
        <f t="shared" si="47"/>
        <v xml:space="preserve">    price: '445',</v>
      </c>
    </row>
    <row r="560" spans="1:12" x14ac:dyDescent="0.25">
      <c r="A560" t="s">
        <v>484</v>
      </c>
      <c r="H560">
        <f t="shared" si="43"/>
        <v>16</v>
      </c>
      <c r="I560" t="str">
        <f t="shared" si="44"/>
        <v xml:space="preserve">    description:</v>
      </c>
      <c r="J560">
        <f t="shared" si="45"/>
        <v>42</v>
      </c>
      <c r="K560" t="str">
        <f t="shared" si="46"/>
        <v>Console table, 133x37 cm</v>
      </c>
      <c r="L560" t="str">
        <f t="shared" si="47"/>
        <v xml:space="preserve">    description: 'Console table, 133x37 cm',</v>
      </c>
    </row>
    <row r="561" spans="1:12" x14ac:dyDescent="0.25">
      <c r="A561" t="s">
        <v>270</v>
      </c>
      <c r="H561">
        <f t="shared" si="43"/>
        <v>13</v>
      </c>
      <c r="I561" t="str">
        <f t="shared" si="44"/>
        <v xml:space="preserve">    designer:</v>
      </c>
      <c r="J561">
        <f t="shared" si="45"/>
        <v>26</v>
      </c>
      <c r="K561" t="str">
        <f t="shared" si="46"/>
        <v>Carina Beng</v>
      </c>
      <c r="L561" t="str">
        <f t="shared" si="47"/>
        <v xml:space="preserve">    designer: 'Carina Beng',</v>
      </c>
    </row>
    <row r="562" spans="1:12" x14ac:dyDescent="0.25">
      <c r="A562" t="s">
        <v>522</v>
      </c>
      <c r="H562" t="e">
        <f t="shared" si="43"/>
        <v>#VALUE!</v>
      </c>
      <c r="I562" t="e">
        <f t="shared" si="44"/>
        <v>#VALUE!</v>
      </c>
      <c r="J562">
        <f t="shared" si="45"/>
        <v>4</v>
      </c>
      <c r="K562" t="e">
        <f t="shared" si="46"/>
        <v>#VALUE!</v>
      </c>
      <c r="L562" t="str">
        <f>A562</f>
        <v xml:space="preserve">  },</v>
      </c>
    </row>
    <row r="563" spans="1:12" x14ac:dyDescent="0.25">
      <c r="A563" t="s">
        <v>238</v>
      </c>
      <c r="H563" t="e">
        <f t="shared" si="43"/>
        <v>#VALUE!</v>
      </c>
      <c r="I563" t="e">
        <f t="shared" si="44"/>
        <v>#VALUE!</v>
      </c>
      <c r="J563">
        <f t="shared" si="45"/>
        <v>3</v>
      </c>
      <c r="K563" t="e">
        <f t="shared" si="46"/>
        <v>#VALUE!</v>
      </c>
      <c r="L563" t="str">
        <f>A563</f>
        <v xml:space="preserve">  {</v>
      </c>
    </row>
    <row r="564" spans="1:12" x14ac:dyDescent="0.25">
      <c r="A564" t="s">
        <v>485</v>
      </c>
      <c r="H564">
        <f t="shared" si="43"/>
        <v>9</v>
      </c>
      <c r="I564" t="str">
        <f t="shared" si="44"/>
        <v xml:space="preserve">    guid:</v>
      </c>
      <c r="J564">
        <f t="shared" si="45"/>
        <v>47</v>
      </c>
      <c r="K564" t="str">
        <f t="shared" si="46"/>
        <v>67fa35cc-8825-3082-604a-0491f39dcda1</v>
      </c>
      <c r="L564" t="str">
        <f t="shared" si="47"/>
        <v xml:space="preserve">    guid: '67fa35cc-8825-3082-604a-0491f39dcda1',</v>
      </c>
    </row>
    <row r="565" spans="1:12" x14ac:dyDescent="0.25">
      <c r="A565" t="s">
        <v>486</v>
      </c>
      <c r="H565">
        <f t="shared" si="43"/>
        <v>9</v>
      </c>
      <c r="I565" t="str">
        <f t="shared" si="44"/>
        <v xml:space="preserve">    name:</v>
      </c>
      <c r="J565">
        <f t="shared" si="45"/>
        <v>32</v>
      </c>
      <c r="K565" t="str">
        <f t="shared" si="46"/>
        <v>PAX / FORSAND/VIKEDAL</v>
      </c>
      <c r="L565" t="str">
        <f t="shared" si="47"/>
        <v xml:space="preserve">    name: 'PAX / FORSAND/VIKEDAL',</v>
      </c>
    </row>
    <row r="566" spans="1:12" x14ac:dyDescent="0.25">
      <c r="A566" t="s">
        <v>487</v>
      </c>
      <c r="H566">
        <f t="shared" si="43"/>
        <v>13</v>
      </c>
      <c r="I566" t="str">
        <f t="shared" si="44"/>
        <v xml:space="preserve">    category:</v>
      </c>
      <c r="J566">
        <f t="shared" si="45"/>
        <v>24</v>
      </c>
      <c r="K566" t="str">
        <f t="shared" si="46"/>
        <v>Wardrobes</v>
      </c>
      <c r="L566" t="str">
        <f t="shared" si="47"/>
        <v xml:space="preserve">    category: 'Wardrobes',</v>
      </c>
    </row>
    <row r="567" spans="1:12" x14ac:dyDescent="0.25">
      <c r="A567" t="s">
        <v>299</v>
      </c>
      <c r="H567">
        <f t="shared" si="43"/>
        <v>10</v>
      </c>
      <c r="I567" t="str">
        <f t="shared" si="44"/>
        <v xml:space="preserve">    price:</v>
      </c>
      <c r="J567">
        <f t="shared" si="45"/>
        <v>16</v>
      </c>
      <c r="K567" t="str">
        <f t="shared" si="46"/>
        <v>1195</v>
      </c>
      <c r="L567" t="str">
        <f t="shared" si="47"/>
        <v xml:space="preserve">    price: '1195',</v>
      </c>
    </row>
    <row r="568" spans="1:12" x14ac:dyDescent="0.25">
      <c r="A568" t="s">
        <v>488</v>
      </c>
      <c r="H568">
        <f t="shared" si="43"/>
        <v>16</v>
      </c>
      <c r="I568" t="str">
        <f t="shared" si="44"/>
        <v xml:space="preserve">    description:</v>
      </c>
      <c r="J568">
        <f t="shared" si="45"/>
        <v>53</v>
      </c>
      <c r="K568" t="str">
        <f t="shared" si="46"/>
        <v>Wardrobe combination, 150x60x201 cm</v>
      </c>
      <c r="L568" t="str">
        <f t="shared" si="47"/>
        <v xml:space="preserve">    description: 'Wardrobe combination, 150x60x201 cm',</v>
      </c>
    </row>
    <row r="569" spans="1:12" x14ac:dyDescent="0.25">
      <c r="A569" t="s">
        <v>489</v>
      </c>
      <c r="H569">
        <f t="shared" si="43"/>
        <v>13</v>
      </c>
      <c r="I569" t="str">
        <f t="shared" si="44"/>
        <v xml:space="preserve">    designer:</v>
      </c>
      <c r="J569">
        <f t="shared" si="45"/>
        <v>45</v>
      </c>
      <c r="K569" t="str">
        <f t="shared" si="46"/>
        <v>IKEA of Sweden/EhlÃ©n Johansso</v>
      </c>
      <c r="L569" t="str">
        <f t="shared" si="47"/>
        <v xml:space="preserve">    designer: 'IKEA of Sweden/EhlÃ©n Johansso',</v>
      </c>
    </row>
    <row r="570" spans="1:12" x14ac:dyDescent="0.25">
      <c r="A570" t="s">
        <v>522</v>
      </c>
      <c r="H570" t="e">
        <f t="shared" si="43"/>
        <v>#VALUE!</v>
      </c>
      <c r="I570" t="e">
        <f t="shared" si="44"/>
        <v>#VALUE!</v>
      </c>
      <c r="J570">
        <f t="shared" si="45"/>
        <v>4</v>
      </c>
      <c r="K570" t="e">
        <f t="shared" si="46"/>
        <v>#VALUE!</v>
      </c>
      <c r="L570" t="str">
        <f>A570</f>
        <v xml:space="preserve">  },</v>
      </c>
    </row>
    <row r="571" spans="1:12" x14ac:dyDescent="0.25">
      <c r="A571" t="s">
        <v>238</v>
      </c>
      <c r="H571" t="e">
        <f t="shared" si="43"/>
        <v>#VALUE!</v>
      </c>
      <c r="I571" t="e">
        <f t="shared" si="44"/>
        <v>#VALUE!</v>
      </c>
      <c r="J571">
        <f t="shared" si="45"/>
        <v>3</v>
      </c>
      <c r="K571" t="e">
        <f t="shared" si="46"/>
        <v>#VALUE!</v>
      </c>
      <c r="L571" t="str">
        <f>A571</f>
        <v xml:space="preserve">  {</v>
      </c>
    </row>
    <row r="572" spans="1:12" x14ac:dyDescent="0.25">
      <c r="A572" t="s">
        <v>490</v>
      </c>
      <c r="H572">
        <f t="shared" si="43"/>
        <v>9</v>
      </c>
      <c r="I572" t="str">
        <f t="shared" si="44"/>
        <v xml:space="preserve">    guid:</v>
      </c>
      <c r="J572">
        <f t="shared" si="45"/>
        <v>47</v>
      </c>
      <c r="K572" t="str">
        <f t="shared" si="46"/>
        <v>02f81586-659e-cfc6-3aaf-01194c0fc9d3</v>
      </c>
      <c r="L572" t="str">
        <f t="shared" si="47"/>
        <v xml:space="preserve">    guid: '02f81586-659e-cfc6-3aaf-01194c0fc9d3',</v>
      </c>
    </row>
    <row r="573" spans="1:12" x14ac:dyDescent="0.25">
      <c r="A573" t="s">
        <v>422</v>
      </c>
      <c r="H573">
        <f t="shared" si="43"/>
        <v>9</v>
      </c>
      <c r="I573" t="str">
        <f t="shared" si="44"/>
        <v xml:space="preserve">    name:</v>
      </c>
      <c r="J573">
        <f t="shared" si="45"/>
        <v>17</v>
      </c>
      <c r="K573" t="str">
        <f t="shared" si="46"/>
        <v>PLATSA</v>
      </c>
      <c r="L573" t="str">
        <f t="shared" si="47"/>
        <v xml:space="preserve">    name: 'PLATSA',</v>
      </c>
    </row>
    <row r="574" spans="1:12" x14ac:dyDescent="0.25">
      <c r="A574" t="s">
        <v>487</v>
      </c>
      <c r="H574">
        <f t="shared" si="43"/>
        <v>13</v>
      </c>
      <c r="I574" t="str">
        <f t="shared" si="44"/>
        <v xml:space="preserve">    category:</v>
      </c>
      <c r="J574">
        <f t="shared" si="45"/>
        <v>24</v>
      </c>
      <c r="K574" t="str">
        <f t="shared" si="46"/>
        <v>Wardrobes</v>
      </c>
      <c r="L574" t="str">
        <f t="shared" si="47"/>
        <v xml:space="preserve">    category: 'Wardrobes',</v>
      </c>
    </row>
    <row r="575" spans="1:12" x14ac:dyDescent="0.25">
      <c r="A575" t="s">
        <v>491</v>
      </c>
      <c r="H575">
        <f t="shared" si="43"/>
        <v>10</v>
      </c>
      <c r="I575" t="str">
        <f t="shared" si="44"/>
        <v xml:space="preserve">    price:</v>
      </c>
      <c r="J575">
        <f t="shared" si="45"/>
        <v>16</v>
      </c>
      <c r="K575" t="str">
        <f t="shared" si="46"/>
        <v>1259</v>
      </c>
      <c r="L575" t="str">
        <f t="shared" si="47"/>
        <v xml:space="preserve">    price: '1259',</v>
      </c>
    </row>
    <row r="576" spans="1:12" x14ac:dyDescent="0.25">
      <c r="A576" t="s">
        <v>492</v>
      </c>
      <c r="H576">
        <f t="shared" si="43"/>
        <v>16</v>
      </c>
      <c r="I576" t="str">
        <f t="shared" si="44"/>
        <v xml:space="preserve">    description:</v>
      </c>
      <c r="J576">
        <f t="shared" si="45"/>
        <v>64</v>
      </c>
      <c r="K576" t="str">
        <f t="shared" si="46"/>
        <v>Wardrobe with 2 doors+3 drawers, 160x42x181 cm</v>
      </c>
      <c r="L576" t="str">
        <f t="shared" si="47"/>
        <v xml:space="preserve">    description: 'Wardrobe with 2 doors+3 drawers, 160x42x181 cm',</v>
      </c>
    </row>
    <row r="577" spans="1:12" x14ac:dyDescent="0.25">
      <c r="A577" t="s">
        <v>493</v>
      </c>
      <c r="H577">
        <f t="shared" si="43"/>
        <v>13</v>
      </c>
      <c r="I577" t="str">
        <f t="shared" si="44"/>
        <v xml:space="preserve">    designer:</v>
      </c>
      <c r="J577">
        <f t="shared" si="45"/>
        <v>41</v>
      </c>
      <c r="K577" t="str">
        <f t="shared" si="46"/>
        <v>Ola Wihlborg/IKEA of Swede</v>
      </c>
      <c r="L577" t="str">
        <f t="shared" si="47"/>
        <v xml:space="preserve">    designer: 'Ola Wihlborg/IKEA of Swede',</v>
      </c>
    </row>
    <row r="578" spans="1:12" x14ac:dyDescent="0.25">
      <c r="A578" t="s">
        <v>522</v>
      </c>
      <c r="H578" t="e">
        <f t="shared" si="43"/>
        <v>#VALUE!</v>
      </c>
      <c r="I578" t="e">
        <f t="shared" si="44"/>
        <v>#VALUE!</v>
      </c>
      <c r="J578">
        <f t="shared" si="45"/>
        <v>4</v>
      </c>
      <c r="K578" t="e">
        <f t="shared" si="46"/>
        <v>#VALUE!</v>
      </c>
      <c r="L578" t="str">
        <f>A578</f>
        <v xml:space="preserve">  },</v>
      </c>
    </row>
    <row r="579" spans="1:12" x14ac:dyDescent="0.25">
      <c r="A579" t="s">
        <v>238</v>
      </c>
      <c r="H579" t="e">
        <f t="shared" si="43"/>
        <v>#VALUE!</v>
      </c>
      <c r="I579" t="e">
        <f t="shared" si="44"/>
        <v>#VALUE!</v>
      </c>
      <c r="J579">
        <f t="shared" si="45"/>
        <v>3</v>
      </c>
      <c r="K579" t="e">
        <f t="shared" si="46"/>
        <v>#VALUE!</v>
      </c>
      <c r="L579" t="str">
        <f>A579</f>
        <v xml:space="preserve">  {</v>
      </c>
    </row>
    <row r="580" spans="1:12" x14ac:dyDescent="0.25">
      <c r="A580" t="s">
        <v>494</v>
      </c>
      <c r="H580">
        <f t="shared" si="43"/>
        <v>9</v>
      </c>
      <c r="I580" t="str">
        <f t="shared" si="44"/>
        <v xml:space="preserve">    guid:</v>
      </c>
      <c r="J580">
        <f t="shared" si="45"/>
        <v>47</v>
      </c>
      <c r="K580" t="str">
        <f t="shared" si="46"/>
        <v>ddd5629b-d202-ccbd-b66c-d1330162722b</v>
      </c>
      <c r="L580" t="str">
        <f t="shared" si="47"/>
        <v xml:space="preserve">    guid: 'ddd5629b-d202-ccbd-b66c-d1330162722b',</v>
      </c>
    </row>
    <row r="581" spans="1:12" x14ac:dyDescent="0.25">
      <c r="A581" t="s">
        <v>422</v>
      </c>
      <c r="H581">
        <f t="shared" ref="H581:H643" si="48">SEARCH(":",A581)</f>
        <v>9</v>
      </c>
      <c r="I581" t="str">
        <f t="shared" ref="I581:I643" si="49">LOWER(LEFT(A581,H581))</f>
        <v xml:space="preserve">    name:</v>
      </c>
      <c r="J581">
        <f t="shared" ref="J581:J643" si="50">LEN(A581)</f>
        <v>17</v>
      </c>
      <c r="K581" t="str">
        <f t="shared" ref="K581:K643" si="51">MID(A581,H581+2,J581-H581-2)</f>
        <v>PLATSA</v>
      </c>
      <c r="L581" t="str">
        <f t="shared" ref="L581:L643" si="52">_xlfn.CONCAT(I581," '",K581,"'",",")</f>
        <v xml:space="preserve">    name: 'PLATSA',</v>
      </c>
    </row>
    <row r="582" spans="1:12" x14ac:dyDescent="0.25">
      <c r="A582" t="s">
        <v>487</v>
      </c>
      <c r="H582">
        <f t="shared" si="48"/>
        <v>13</v>
      </c>
      <c r="I582" t="str">
        <f t="shared" si="49"/>
        <v xml:space="preserve">    category:</v>
      </c>
      <c r="J582">
        <f t="shared" si="50"/>
        <v>24</v>
      </c>
      <c r="K582" t="str">
        <f t="shared" si="51"/>
        <v>Wardrobes</v>
      </c>
      <c r="L582" t="str">
        <f t="shared" si="52"/>
        <v xml:space="preserve">    category: 'Wardrobes',</v>
      </c>
    </row>
    <row r="583" spans="1:12" x14ac:dyDescent="0.25">
      <c r="A583" t="s">
        <v>495</v>
      </c>
      <c r="H583">
        <f t="shared" si="48"/>
        <v>10</v>
      </c>
      <c r="I583" t="str">
        <f t="shared" si="49"/>
        <v xml:space="preserve">    price:</v>
      </c>
      <c r="J583">
        <f t="shared" si="50"/>
        <v>15</v>
      </c>
      <c r="K583" t="str">
        <f t="shared" si="51"/>
        <v>892</v>
      </c>
      <c r="L583" t="str">
        <f t="shared" si="52"/>
        <v xml:space="preserve">    price: '892',</v>
      </c>
    </row>
    <row r="584" spans="1:12" x14ac:dyDescent="0.25">
      <c r="A584" t="s">
        <v>496</v>
      </c>
      <c r="H584">
        <f t="shared" si="48"/>
        <v>16</v>
      </c>
      <c r="I584" t="str">
        <f t="shared" si="49"/>
        <v xml:space="preserve">    description:</v>
      </c>
      <c r="J584">
        <f t="shared" si="50"/>
        <v>54</v>
      </c>
      <c r="K584" t="str">
        <f t="shared" si="51"/>
        <v>Wardrobe with 3 doors, 140x42x161 cm</v>
      </c>
      <c r="L584" t="str">
        <f t="shared" si="52"/>
        <v xml:space="preserve">    description: 'Wardrobe with 3 doors, 140x42x161 cm',</v>
      </c>
    </row>
    <row r="585" spans="1:12" x14ac:dyDescent="0.25">
      <c r="A585" t="s">
        <v>425</v>
      </c>
      <c r="H585">
        <f t="shared" si="48"/>
        <v>13</v>
      </c>
      <c r="I585" t="str">
        <f t="shared" si="49"/>
        <v xml:space="preserve">    designer:</v>
      </c>
      <c r="J585">
        <f t="shared" si="50"/>
        <v>41</v>
      </c>
      <c r="K585" t="str">
        <f t="shared" si="51"/>
        <v>IKEA of Sweden/Ola Wihlbor</v>
      </c>
      <c r="L585" t="str">
        <f t="shared" si="52"/>
        <v xml:space="preserve">    designer: 'IKEA of Sweden/Ola Wihlbor',</v>
      </c>
    </row>
    <row r="586" spans="1:12" x14ac:dyDescent="0.25">
      <c r="A586" t="s">
        <v>522</v>
      </c>
      <c r="H586" t="e">
        <f t="shared" si="48"/>
        <v>#VALUE!</v>
      </c>
      <c r="I586" t="e">
        <f t="shared" si="49"/>
        <v>#VALUE!</v>
      </c>
      <c r="J586">
        <f t="shared" si="50"/>
        <v>4</v>
      </c>
      <c r="K586" t="e">
        <f t="shared" si="51"/>
        <v>#VALUE!</v>
      </c>
      <c r="L586" t="str">
        <f>A586</f>
        <v xml:space="preserve">  },</v>
      </c>
    </row>
    <row r="587" spans="1:12" x14ac:dyDescent="0.25">
      <c r="A587" t="s">
        <v>238</v>
      </c>
      <c r="H587" t="e">
        <f t="shared" si="48"/>
        <v>#VALUE!</v>
      </c>
      <c r="I587" t="e">
        <f t="shared" si="49"/>
        <v>#VALUE!</v>
      </c>
      <c r="J587">
        <f t="shared" si="50"/>
        <v>3</v>
      </c>
      <c r="K587" t="e">
        <f t="shared" si="51"/>
        <v>#VALUE!</v>
      </c>
      <c r="L587" t="str">
        <f>A587</f>
        <v xml:space="preserve">  {</v>
      </c>
    </row>
    <row r="588" spans="1:12" x14ac:dyDescent="0.25">
      <c r="A588" t="s">
        <v>497</v>
      </c>
      <c r="H588">
        <f t="shared" si="48"/>
        <v>9</v>
      </c>
      <c r="I588" t="str">
        <f t="shared" si="49"/>
        <v xml:space="preserve">    guid:</v>
      </c>
      <c r="J588">
        <f t="shared" si="50"/>
        <v>47</v>
      </c>
      <c r="K588" t="str">
        <f t="shared" si="51"/>
        <v>b0d68d70-819b-6a86-f05b-803c66500754</v>
      </c>
      <c r="L588" t="str">
        <f t="shared" si="52"/>
        <v xml:space="preserve">    guid: 'b0d68d70-819b-6a86-f05b-803c66500754',</v>
      </c>
    </row>
    <row r="589" spans="1:12" x14ac:dyDescent="0.25">
      <c r="A589" t="s">
        <v>498</v>
      </c>
      <c r="H589">
        <f t="shared" si="48"/>
        <v>9</v>
      </c>
      <c r="I589" t="str">
        <f t="shared" si="49"/>
        <v xml:space="preserve">    name:</v>
      </c>
      <c r="J589">
        <f t="shared" si="50"/>
        <v>20</v>
      </c>
      <c r="K589" t="str">
        <f t="shared" si="51"/>
        <v>KLEPPSTAD</v>
      </c>
      <c r="L589" t="str">
        <f t="shared" si="52"/>
        <v xml:space="preserve">    name: 'KLEPPSTAD',</v>
      </c>
    </row>
    <row r="590" spans="1:12" x14ac:dyDescent="0.25">
      <c r="A590" t="s">
        <v>487</v>
      </c>
      <c r="H590">
        <f t="shared" si="48"/>
        <v>13</v>
      </c>
      <c r="I590" t="str">
        <f t="shared" si="49"/>
        <v xml:space="preserve">    category:</v>
      </c>
      <c r="J590">
        <f t="shared" si="50"/>
        <v>24</v>
      </c>
      <c r="K590" t="str">
        <f t="shared" si="51"/>
        <v>Wardrobes</v>
      </c>
      <c r="L590" t="str">
        <f t="shared" si="52"/>
        <v xml:space="preserve">    category: 'Wardrobes',</v>
      </c>
    </row>
    <row r="591" spans="1:12" x14ac:dyDescent="0.25">
      <c r="A591" t="s">
        <v>499</v>
      </c>
      <c r="H591">
        <f t="shared" si="48"/>
        <v>10</v>
      </c>
      <c r="I591" t="str">
        <f t="shared" si="49"/>
        <v xml:space="preserve">    price:</v>
      </c>
      <c r="J591">
        <f t="shared" si="50"/>
        <v>15</v>
      </c>
      <c r="K591" t="str">
        <f t="shared" si="51"/>
        <v>449</v>
      </c>
      <c r="L591" t="str">
        <f t="shared" si="52"/>
        <v xml:space="preserve">    price: '449',</v>
      </c>
    </row>
    <row r="592" spans="1:12" x14ac:dyDescent="0.25">
      <c r="A592" t="s">
        <v>500</v>
      </c>
      <c r="H592">
        <f t="shared" si="48"/>
        <v>16</v>
      </c>
      <c r="I592" t="str">
        <f t="shared" si="49"/>
        <v xml:space="preserve">    description:</v>
      </c>
      <c r="J592">
        <f t="shared" si="50"/>
        <v>51</v>
      </c>
      <c r="K592" t="str">
        <f t="shared" si="51"/>
        <v>Wardrobe with 3 doors, 117x176 cm</v>
      </c>
      <c r="L592" t="str">
        <f t="shared" si="52"/>
        <v xml:space="preserve">    description: 'Wardrobe with 3 doors, 117x176 cm',</v>
      </c>
    </row>
    <row r="593" spans="1:12" x14ac:dyDescent="0.25">
      <c r="A593" t="s">
        <v>341</v>
      </c>
      <c r="H593">
        <f t="shared" si="48"/>
        <v>13</v>
      </c>
      <c r="I593" t="str">
        <f t="shared" si="49"/>
        <v xml:space="preserve">    designer:</v>
      </c>
      <c r="J593">
        <f t="shared" si="50"/>
        <v>28</v>
      </c>
      <c r="K593" t="str">
        <f t="shared" si="51"/>
        <v>IKEA of Swede</v>
      </c>
      <c r="L593" t="str">
        <f t="shared" si="52"/>
        <v xml:space="preserve">    designer: 'IKEA of Swede',</v>
      </c>
    </row>
    <row r="594" spans="1:12" x14ac:dyDescent="0.25">
      <c r="A594" t="s">
        <v>522</v>
      </c>
      <c r="H594" t="e">
        <f t="shared" si="48"/>
        <v>#VALUE!</v>
      </c>
      <c r="I594" t="e">
        <f t="shared" si="49"/>
        <v>#VALUE!</v>
      </c>
      <c r="J594">
        <f t="shared" si="50"/>
        <v>4</v>
      </c>
      <c r="K594" t="e">
        <f t="shared" si="51"/>
        <v>#VALUE!</v>
      </c>
      <c r="L594" t="str">
        <f>A594</f>
        <v xml:space="preserve">  },</v>
      </c>
    </row>
    <row r="595" spans="1:12" x14ac:dyDescent="0.25">
      <c r="A595" t="s">
        <v>238</v>
      </c>
      <c r="H595" t="e">
        <f t="shared" si="48"/>
        <v>#VALUE!</v>
      </c>
      <c r="I595" t="e">
        <f t="shared" si="49"/>
        <v>#VALUE!</v>
      </c>
      <c r="J595">
        <f t="shared" si="50"/>
        <v>3</v>
      </c>
      <c r="K595" t="e">
        <f t="shared" si="51"/>
        <v>#VALUE!</v>
      </c>
      <c r="L595" t="str">
        <f>A595</f>
        <v xml:space="preserve">  {</v>
      </c>
    </row>
    <row r="596" spans="1:12" x14ac:dyDescent="0.25">
      <c r="A596" t="s">
        <v>501</v>
      </c>
      <c r="H596">
        <f t="shared" si="48"/>
        <v>9</v>
      </c>
      <c r="I596" t="str">
        <f t="shared" si="49"/>
        <v xml:space="preserve">    guid:</v>
      </c>
      <c r="J596">
        <f t="shared" si="50"/>
        <v>47</v>
      </c>
      <c r="K596" t="str">
        <f t="shared" si="51"/>
        <v>9af15c25-efb7-b314-6b67-3abdaf00949d</v>
      </c>
      <c r="L596" t="str">
        <f t="shared" si="52"/>
        <v xml:space="preserve">    guid: '9af15c25-efb7-b314-6b67-3abdaf00949d',</v>
      </c>
    </row>
    <row r="597" spans="1:12" x14ac:dyDescent="0.25">
      <c r="A597" t="s">
        <v>287</v>
      </c>
      <c r="H597">
        <f t="shared" si="48"/>
        <v>9</v>
      </c>
      <c r="I597" t="str">
        <f t="shared" si="49"/>
        <v xml:space="preserve">    name:</v>
      </c>
      <c r="J597">
        <f t="shared" si="50"/>
        <v>18</v>
      </c>
      <c r="K597" t="str">
        <f t="shared" si="51"/>
        <v>BRIMNES</v>
      </c>
      <c r="L597" t="str">
        <f t="shared" si="52"/>
        <v xml:space="preserve">    name: 'BRIMNES',</v>
      </c>
    </row>
    <row r="598" spans="1:12" x14ac:dyDescent="0.25">
      <c r="A598" t="s">
        <v>487</v>
      </c>
      <c r="H598">
        <f t="shared" si="48"/>
        <v>13</v>
      </c>
      <c r="I598" t="str">
        <f t="shared" si="49"/>
        <v xml:space="preserve">    category:</v>
      </c>
      <c r="J598">
        <f t="shared" si="50"/>
        <v>24</v>
      </c>
      <c r="K598" t="str">
        <f t="shared" si="51"/>
        <v>Wardrobes</v>
      </c>
      <c r="L598" t="str">
        <f t="shared" si="52"/>
        <v xml:space="preserve">    category: 'Wardrobes',</v>
      </c>
    </row>
    <row r="599" spans="1:12" x14ac:dyDescent="0.25">
      <c r="A599" t="s">
        <v>502</v>
      </c>
      <c r="H599">
        <f t="shared" si="48"/>
        <v>10</v>
      </c>
      <c r="I599" t="str">
        <f t="shared" si="49"/>
        <v xml:space="preserve">    price:</v>
      </c>
      <c r="J599">
        <f t="shared" si="50"/>
        <v>15</v>
      </c>
      <c r="K599" t="str">
        <f t="shared" si="51"/>
        <v>645</v>
      </c>
      <c r="L599" t="str">
        <f t="shared" si="52"/>
        <v xml:space="preserve">    price: '645',</v>
      </c>
    </row>
    <row r="600" spans="1:12" x14ac:dyDescent="0.25">
      <c r="A600" t="s">
        <v>503</v>
      </c>
      <c r="H600">
        <f t="shared" si="48"/>
        <v>16</v>
      </c>
      <c r="I600" t="str">
        <f t="shared" si="49"/>
        <v xml:space="preserve">    description:</v>
      </c>
      <c r="J600">
        <f t="shared" si="50"/>
        <v>51</v>
      </c>
      <c r="K600" t="str">
        <f t="shared" si="51"/>
        <v>Wardrobe with 3 doors, 117x190 cm</v>
      </c>
      <c r="L600" t="str">
        <f t="shared" si="52"/>
        <v xml:space="preserve">    description: 'Wardrobe with 3 doors, 117x190 cm',</v>
      </c>
    </row>
    <row r="601" spans="1:12" x14ac:dyDescent="0.25">
      <c r="A601" t="s">
        <v>275</v>
      </c>
      <c r="H601">
        <f t="shared" si="48"/>
        <v>13</v>
      </c>
      <c r="I601" t="str">
        <f t="shared" si="49"/>
        <v xml:space="preserve">    designer:</v>
      </c>
      <c r="J601">
        <f t="shared" si="50"/>
        <v>33</v>
      </c>
      <c r="K601" t="str">
        <f t="shared" si="51"/>
        <v>K Hagberg/M Hagber</v>
      </c>
      <c r="L601" t="str">
        <f t="shared" si="52"/>
        <v xml:space="preserve">    designer: 'K Hagberg/M Hagber',</v>
      </c>
    </row>
    <row r="602" spans="1:12" x14ac:dyDescent="0.25">
      <c r="A602" t="s">
        <v>522</v>
      </c>
      <c r="H602" t="e">
        <f t="shared" si="48"/>
        <v>#VALUE!</v>
      </c>
      <c r="I602" t="e">
        <f t="shared" si="49"/>
        <v>#VALUE!</v>
      </c>
      <c r="J602">
        <f t="shared" si="50"/>
        <v>4</v>
      </c>
      <c r="K602" t="e">
        <f t="shared" si="51"/>
        <v>#VALUE!</v>
      </c>
      <c r="L602" t="str">
        <f>A602</f>
        <v xml:space="preserve">  },</v>
      </c>
    </row>
    <row r="603" spans="1:12" x14ac:dyDescent="0.25">
      <c r="A603" t="s">
        <v>238</v>
      </c>
      <c r="H603" t="e">
        <f t="shared" si="48"/>
        <v>#VALUE!</v>
      </c>
      <c r="I603" t="e">
        <f t="shared" si="49"/>
        <v>#VALUE!</v>
      </c>
      <c r="J603">
        <f t="shared" si="50"/>
        <v>3</v>
      </c>
      <c r="K603" t="e">
        <f t="shared" si="51"/>
        <v>#VALUE!</v>
      </c>
      <c r="L603" t="str">
        <f>A603</f>
        <v xml:space="preserve">  {</v>
      </c>
    </row>
    <row r="604" spans="1:12" x14ac:dyDescent="0.25">
      <c r="A604" t="s">
        <v>504</v>
      </c>
      <c r="H604">
        <f t="shared" si="48"/>
        <v>9</v>
      </c>
      <c r="I604" t="str">
        <f t="shared" si="49"/>
        <v xml:space="preserve">    guid:</v>
      </c>
      <c r="J604">
        <f t="shared" si="50"/>
        <v>47</v>
      </c>
      <c r="K604" t="str">
        <f t="shared" si="51"/>
        <v>36916091-6f73-3a2c-ef19-5a2903e812b3</v>
      </c>
      <c r="L604" t="str">
        <f t="shared" si="52"/>
        <v xml:space="preserve">    guid: '36916091-6f73-3a2c-ef19-5a2903e812b3',</v>
      </c>
    </row>
    <row r="605" spans="1:12" x14ac:dyDescent="0.25">
      <c r="A605" t="s">
        <v>498</v>
      </c>
      <c r="H605">
        <f t="shared" si="48"/>
        <v>9</v>
      </c>
      <c r="I605" t="str">
        <f t="shared" si="49"/>
        <v xml:space="preserve">    name:</v>
      </c>
      <c r="J605">
        <f t="shared" si="50"/>
        <v>20</v>
      </c>
      <c r="K605" t="str">
        <f t="shared" si="51"/>
        <v>KLEPPSTAD</v>
      </c>
      <c r="L605" t="str">
        <f t="shared" si="52"/>
        <v xml:space="preserve">    name: 'KLEPPSTAD',</v>
      </c>
    </row>
    <row r="606" spans="1:12" x14ac:dyDescent="0.25">
      <c r="A606" t="s">
        <v>487</v>
      </c>
      <c r="H606">
        <f t="shared" si="48"/>
        <v>13</v>
      </c>
      <c r="I606" t="str">
        <f t="shared" si="49"/>
        <v xml:space="preserve">    category:</v>
      </c>
      <c r="J606">
        <f t="shared" si="50"/>
        <v>24</v>
      </c>
      <c r="K606" t="str">
        <f t="shared" si="51"/>
        <v>Wardrobes</v>
      </c>
      <c r="L606" t="str">
        <f t="shared" si="52"/>
        <v xml:space="preserve">    category: 'Wardrobes',</v>
      </c>
    </row>
    <row r="607" spans="1:12" x14ac:dyDescent="0.25">
      <c r="A607" t="s">
        <v>505</v>
      </c>
      <c r="H607">
        <f t="shared" si="48"/>
        <v>10</v>
      </c>
      <c r="I607" t="str">
        <f t="shared" si="49"/>
        <v xml:space="preserve">    price:</v>
      </c>
      <c r="J607">
        <f t="shared" si="50"/>
        <v>15</v>
      </c>
      <c r="K607" t="str">
        <f t="shared" si="51"/>
        <v>349</v>
      </c>
      <c r="L607" t="str">
        <f t="shared" si="52"/>
        <v xml:space="preserve">    price: '349',</v>
      </c>
    </row>
    <row r="608" spans="1:12" x14ac:dyDescent="0.25">
      <c r="A608" t="s">
        <v>506</v>
      </c>
      <c r="H608">
        <f t="shared" si="48"/>
        <v>16</v>
      </c>
      <c r="I608" t="str">
        <f t="shared" si="49"/>
        <v xml:space="preserve">    description:</v>
      </c>
      <c r="J608">
        <f t="shared" si="50"/>
        <v>50</v>
      </c>
      <c r="K608" t="str">
        <f t="shared" si="51"/>
        <v>Wardrobe with 2 doors, 79x176 cm</v>
      </c>
      <c r="L608" t="str">
        <f t="shared" si="52"/>
        <v xml:space="preserve">    description: 'Wardrobe with 2 doors, 79x176 cm',</v>
      </c>
    </row>
    <row r="609" spans="1:12" x14ac:dyDescent="0.25">
      <c r="A609" t="s">
        <v>341</v>
      </c>
      <c r="H609">
        <f t="shared" si="48"/>
        <v>13</v>
      </c>
      <c r="I609" t="str">
        <f t="shared" si="49"/>
        <v xml:space="preserve">    designer:</v>
      </c>
      <c r="J609">
        <f t="shared" si="50"/>
        <v>28</v>
      </c>
      <c r="K609" t="str">
        <f t="shared" si="51"/>
        <v>IKEA of Swede</v>
      </c>
      <c r="L609" t="str">
        <f t="shared" si="52"/>
        <v xml:space="preserve">    designer: 'IKEA of Swede',</v>
      </c>
    </row>
    <row r="610" spans="1:12" x14ac:dyDescent="0.25">
      <c r="A610" t="s">
        <v>522</v>
      </c>
      <c r="H610" t="e">
        <f t="shared" si="48"/>
        <v>#VALUE!</v>
      </c>
      <c r="I610" t="e">
        <f t="shared" si="49"/>
        <v>#VALUE!</v>
      </c>
      <c r="J610">
        <f t="shared" si="50"/>
        <v>4</v>
      </c>
      <c r="K610" t="e">
        <f t="shared" si="51"/>
        <v>#VALUE!</v>
      </c>
      <c r="L610" t="str">
        <f>A610</f>
        <v xml:space="preserve">  },</v>
      </c>
    </row>
    <row r="611" spans="1:12" x14ac:dyDescent="0.25">
      <c r="A611" t="s">
        <v>238</v>
      </c>
      <c r="H611" t="e">
        <f t="shared" si="48"/>
        <v>#VALUE!</v>
      </c>
      <c r="I611" t="e">
        <f t="shared" si="49"/>
        <v>#VALUE!</v>
      </c>
      <c r="J611">
        <f t="shared" si="50"/>
        <v>3</v>
      </c>
      <c r="K611" t="e">
        <f t="shared" si="51"/>
        <v>#VALUE!</v>
      </c>
      <c r="L611" t="str">
        <f>A611</f>
        <v xml:space="preserve">  {</v>
      </c>
    </row>
    <row r="612" spans="1:12" x14ac:dyDescent="0.25">
      <c r="A612" t="s">
        <v>507</v>
      </c>
      <c r="H612">
        <f t="shared" si="48"/>
        <v>9</v>
      </c>
      <c r="I612" t="str">
        <f t="shared" si="49"/>
        <v xml:space="preserve">    guid:</v>
      </c>
      <c r="J612">
        <f t="shared" si="50"/>
        <v>47</v>
      </c>
      <c r="K612" t="str">
        <f t="shared" si="51"/>
        <v>0167d319-823d-faf3-78b8-cff389a91f77</v>
      </c>
      <c r="L612" t="str">
        <f t="shared" si="52"/>
        <v xml:space="preserve">    guid: '0167d319-823d-faf3-78b8-cff389a91f77',</v>
      </c>
    </row>
    <row r="613" spans="1:12" x14ac:dyDescent="0.25">
      <c r="A613" t="s">
        <v>422</v>
      </c>
      <c r="H613">
        <f t="shared" si="48"/>
        <v>9</v>
      </c>
      <c r="I613" t="str">
        <f t="shared" si="49"/>
        <v xml:space="preserve">    name:</v>
      </c>
      <c r="J613">
        <f t="shared" si="50"/>
        <v>17</v>
      </c>
      <c r="K613" t="str">
        <f t="shared" si="51"/>
        <v>PLATSA</v>
      </c>
      <c r="L613" t="str">
        <f t="shared" si="52"/>
        <v xml:space="preserve">    name: 'PLATSA',</v>
      </c>
    </row>
    <row r="614" spans="1:12" x14ac:dyDescent="0.25">
      <c r="A614" t="s">
        <v>487</v>
      </c>
      <c r="H614">
        <f t="shared" si="48"/>
        <v>13</v>
      </c>
      <c r="I614" t="str">
        <f t="shared" si="49"/>
        <v xml:space="preserve">    category:</v>
      </c>
      <c r="J614">
        <f t="shared" si="50"/>
        <v>24</v>
      </c>
      <c r="K614" t="str">
        <f t="shared" si="51"/>
        <v>Wardrobes</v>
      </c>
      <c r="L614" t="str">
        <f t="shared" si="52"/>
        <v xml:space="preserve">    category: 'Wardrobes',</v>
      </c>
    </row>
    <row r="615" spans="1:12" x14ac:dyDescent="0.25">
      <c r="A615" t="s">
        <v>508</v>
      </c>
      <c r="H615">
        <f t="shared" si="48"/>
        <v>10</v>
      </c>
      <c r="I615" t="str">
        <f t="shared" si="49"/>
        <v xml:space="preserve">    price:</v>
      </c>
      <c r="J615">
        <f t="shared" si="50"/>
        <v>16</v>
      </c>
      <c r="K615" t="str">
        <f t="shared" si="51"/>
        <v>2740</v>
      </c>
      <c r="L615" t="str">
        <f t="shared" si="52"/>
        <v xml:space="preserve">    price: '2740',</v>
      </c>
    </row>
    <row r="616" spans="1:12" x14ac:dyDescent="0.25">
      <c r="A616" t="s">
        <v>509</v>
      </c>
      <c r="H616">
        <f t="shared" si="48"/>
        <v>16</v>
      </c>
      <c r="I616" t="str">
        <f t="shared" si="49"/>
        <v xml:space="preserve">    description:</v>
      </c>
      <c r="J616">
        <f t="shared" si="50"/>
        <v>64</v>
      </c>
      <c r="K616" t="str">
        <f t="shared" si="51"/>
        <v>Wardrobe with 7 doors+3 drawers, 240x57x221 cm</v>
      </c>
      <c r="L616" t="str">
        <f t="shared" si="52"/>
        <v xml:space="preserve">    description: 'Wardrobe with 7 doors+3 drawers, 240x57x221 cm',</v>
      </c>
    </row>
    <row r="617" spans="1:12" x14ac:dyDescent="0.25">
      <c r="A617" t="s">
        <v>341</v>
      </c>
      <c r="H617">
        <f t="shared" si="48"/>
        <v>13</v>
      </c>
      <c r="I617" t="str">
        <f t="shared" si="49"/>
        <v xml:space="preserve">    designer:</v>
      </c>
      <c r="J617">
        <f t="shared" si="50"/>
        <v>28</v>
      </c>
      <c r="K617" t="str">
        <f t="shared" si="51"/>
        <v>IKEA of Swede</v>
      </c>
      <c r="L617" t="str">
        <f t="shared" si="52"/>
        <v xml:space="preserve">    designer: 'IKEA of Swede',</v>
      </c>
    </row>
    <row r="618" spans="1:12" x14ac:dyDescent="0.25">
      <c r="A618" t="s">
        <v>522</v>
      </c>
      <c r="H618" t="e">
        <f t="shared" si="48"/>
        <v>#VALUE!</v>
      </c>
      <c r="I618" t="e">
        <f t="shared" si="49"/>
        <v>#VALUE!</v>
      </c>
      <c r="J618">
        <f t="shared" si="50"/>
        <v>4</v>
      </c>
      <c r="K618" t="e">
        <f t="shared" si="51"/>
        <v>#VALUE!</v>
      </c>
      <c r="L618" t="str">
        <f>A618</f>
        <v xml:space="preserve">  },</v>
      </c>
    </row>
    <row r="619" spans="1:12" x14ac:dyDescent="0.25">
      <c r="A619" t="s">
        <v>238</v>
      </c>
      <c r="H619" t="e">
        <f t="shared" si="48"/>
        <v>#VALUE!</v>
      </c>
      <c r="I619" t="e">
        <f t="shared" si="49"/>
        <v>#VALUE!</v>
      </c>
      <c r="J619">
        <f t="shared" si="50"/>
        <v>3</v>
      </c>
      <c r="K619" t="e">
        <f t="shared" si="51"/>
        <v>#VALUE!</v>
      </c>
      <c r="L619" t="str">
        <f>A619</f>
        <v xml:space="preserve">  {</v>
      </c>
    </row>
    <row r="620" spans="1:12" x14ac:dyDescent="0.25">
      <c r="A620" t="s">
        <v>510</v>
      </c>
      <c r="H620">
        <f t="shared" si="48"/>
        <v>9</v>
      </c>
      <c r="I620" t="str">
        <f t="shared" si="49"/>
        <v xml:space="preserve">    guid:</v>
      </c>
      <c r="J620">
        <f t="shared" si="50"/>
        <v>47</v>
      </c>
      <c r="K620" t="str">
        <f t="shared" si="51"/>
        <v>b4ba2748-8f0e-3053-c0dc-ba84ffc27e2f</v>
      </c>
      <c r="L620" t="str">
        <f t="shared" si="52"/>
        <v xml:space="preserve">    guid: 'b4ba2748-8f0e-3053-c0dc-ba84ffc27e2f',</v>
      </c>
    </row>
    <row r="621" spans="1:12" x14ac:dyDescent="0.25">
      <c r="A621" t="s">
        <v>511</v>
      </c>
      <c r="H621">
        <f t="shared" si="48"/>
        <v>9</v>
      </c>
      <c r="I621" t="str">
        <f t="shared" si="49"/>
        <v xml:space="preserve">    name:</v>
      </c>
      <c r="J621">
        <f t="shared" si="50"/>
        <v>15</v>
      </c>
      <c r="K621" t="str">
        <f t="shared" si="51"/>
        <v>VUKU</v>
      </c>
      <c r="L621" t="str">
        <f t="shared" si="52"/>
        <v xml:space="preserve">    name: 'VUKU',</v>
      </c>
    </row>
    <row r="622" spans="1:12" x14ac:dyDescent="0.25">
      <c r="A622" t="s">
        <v>487</v>
      </c>
      <c r="H622">
        <f t="shared" si="48"/>
        <v>13</v>
      </c>
      <c r="I622" t="str">
        <f t="shared" si="49"/>
        <v xml:space="preserve">    category:</v>
      </c>
      <c r="J622">
        <f t="shared" si="50"/>
        <v>24</v>
      </c>
      <c r="K622" t="str">
        <f t="shared" si="51"/>
        <v>Wardrobes</v>
      </c>
      <c r="L622" t="str">
        <f t="shared" si="52"/>
        <v xml:space="preserve">    category: 'Wardrobes',</v>
      </c>
    </row>
    <row r="623" spans="1:12" x14ac:dyDescent="0.25">
      <c r="A623" t="s">
        <v>428</v>
      </c>
      <c r="H623">
        <f t="shared" si="48"/>
        <v>10</v>
      </c>
      <c r="I623" t="str">
        <f t="shared" si="49"/>
        <v xml:space="preserve">    price:</v>
      </c>
      <c r="J623">
        <f t="shared" si="50"/>
        <v>14</v>
      </c>
      <c r="K623" t="str">
        <f t="shared" si="51"/>
        <v>49</v>
      </c>
      <c r="L623" t="str">
        <f t="shared" si="52"/>
        <v xml:space="preserve">    price: '49',</v>
      </c>
    </row>
    <row r="624" spans="1:12" x14ac:dyDescent="0.25">
      <c r="A624" t="s">
        <v>512</v>
      </c>
      <c r="H624">
        <f t="shared" si="48"/>
        <v>16</v>
      </c>
      <c r="I624" t="str">
        <f t="shared" si="49"/>
        <v xml:space="preserve">    description:</v>
      </c>
      <c r="J624">
        <f t="shared" si="50"/>
        <v>40</v>
      </c>
      <c r="K624" t="str">
        <f t="shared" si="51"/>
        <v>Wardrobe, 74x51x149 cm</v>
      </c>
      <c r="L624" t="str">
        <f t="shared" si="52"/>
        <v xml:space="preserve">    description: 'Wardrobe, 74x51x149 cm',</v>
      </c>
    </row>
    <row r="625" spans="1:12" x14ac:dyDescent="0.25">
      <c r="A625" t="s">
        <v>513</v>
      </c>
      <c r="H625">
        <f t="shared" si="48"/>
        <v>13</v>
      </c>
      <c r="I625" t="str">
        <f t="shared" si="49"/>
        <v xml:space="preserve">    designer:</v>
      </c>
      <c r="J625">
        <f t="shared" si="50"/>
        <v>32</v>
      </c>
      <c r="K625" t="str">
        <f t="shared" si="51"/>
        <v>J Karlsson/W Chon</v>
      </c>
      <c r="L625" t="str">
        <f t="shared" si="52"/>
        <v xml:space="preserve">    designer: 'J Karlsson/W Chon',</v>
      </c>
    </row>
    <row r="626" spans="1:12" x14ac:dyDescent="0.25">
      <c r="A626" t="s">
        <v>522</v>
      </c>
      <c r="H626" t="e">
        <f t="shared" si="48"/>
        <v>#VALUE!</v>
      </c>
      <c r="I626" t="e">
        <f t="shared" si="49"/>
        <v>#VALUE!</v>
      </c>
      <c r="J626">
        <f t="shared" si="50"/>
        <v>4</v>
      </c>
      <c r="K626" t="e">
        <f t="shared" si="51"/>
        <v>#VALUE!</v>
      </c>
      <c r="L626" t="str">
        <f>A626</f>
        <v xml:space="preserve">  },</v>
      </c>
    </row>
    <row r="627" spans="1:12" x14ac:dyDescent="0.25">
      <c r="A627" t="s">
        <v>238</v>
      </c>
      <c r="H627" t="e">
        <f t="shared" si="48"/>
        <v>#VALUE!</v>
      </c>
      <c r="I627" t="e">
        <f t="shared" si="49"/>
        <v>#VALUE!</v>
      </c>
      <c r="J627">
        <f t="shared" si="50"/>
        <v>3</v>
      </c>
      <c r="K627" t="e">
        <f t="shared" si="51"/>
        <v>#VALUE!</v>
      </c>
      <c r="L627" t="str">
        <f>A627</f>
        <v xml:space="preserve">  {</v>
      </c>
    </row>
    <row r="628" spans="1:12" x14ac:dyDescent="0.25">
      <c r="A628" t="s">
        <v>514</v>
      </c>
      <c r="H628">
        <f t="shared" si="48"/>
        <v>9</v>
      </c>
      <c r="I628" t="str">
        <f t="shared" si="49"/>
        <v xml:space="preserve">    guid:</v>
      </c>
      <c r="J628">
        <f t="shared" si="50"/>
        <v>47</v>
      </c>
      <c r="K628" t="str">
        <f t="shared" si="51"/>
        <v>42ee418f-4aee-91d7-40e9-866b5e6d45f8</v>
      </c>
      <c r="L628" t="str">
        <f t="shared" si="52"/>
        <v xml:space="preserve">    guid: '42ee418f-4aee-91d7-40e9-866b5e6d45f8',</v>
      </c>
    </row>
    <row r="629" spans="1:12" x14ac:dyDescent="0.25">
      <c r="A629" t="s">
        <v>515</v>
      </c>
      <c r="H629">
        <f t="shared" si="48"/>
        <v>9</v>
      </c>
      <c r="I629" t="str">
        <f t="shared" si="49"/>
        <v xml:space="preserve">    name:</v>
      </c>
      <c r="J629">
        <f t="shared" si="50"/>
        <v>14</v>
      </c>
      <c r="K629" t="str">
        <f t="shared" si="51"/>
        <v>PAX</v>
      </c>
      <c r="L629" t="str">
        <f t="shared" si="52"/>
        <v xml:space="preserve">    name: 'PAX',</v>
      </c>
    </row>
    <row r="630" spans="1:12" x14ac:dyDescent="0.25">
      <c r="A630" t="s">
        <v>487</v>
      </c>
      <c r="H630">
        <f t="shared" si="48"/>
        <v>13</v>
      </c>
      <c r="I630" t="str">
        <f t="shared" si="49"/>
        <v xml:space="preserve">    category:</v>
      </c>
      <c r="J630">
        <f t="shared" si="50"/>
        <v>24</v>
      </c>
      <c r="K630" t="str">
        <f t="shared" si="51"/>
        <v>Wardrobes</v>
      </c>
      <c r="L630" t="str">
        <f t="shared" si="52"/>
        <v xml:space="preserve">    category: 'Wardrobes',</v>
      </c>
    </row>
    <row r="631" spans="1:12" x14ac:dyDescent="0.25">
      <c r="A631" t="s">
        <v>516</v>
      </c>
      <c r="H631">
        <f t="shared" si="48"/>
        <v>10</v>
      </c>
      <c r="I631" t="str">
        <f t="shared" si="49"/>
        <v xml:space="preserve">    price:</v>
      </c>
      <c r="J631">
        <f t="shared" si="50"/>
        <v>16</v>
      </c>
      <c r="K631" t="str">
        <f t="shared" si="51"/>
        <v>1510</v>
      </c>
      <c r="L631" t="str">
        <f t="shared" si="52"/>
        <v xml:space="preserve">    price: '1510',</v>
      </c>
    </row>
    <row r="632" spans="1:12" x14ac:dyDescent="0.25">
      <c r="A632" t="s">
        <v>517</v>
      </c>
      <c r="H632">
        <f t="shared" si="48"/>
        <v>16</v>
      </c>
      <c r="I632" t="str">
        <f t="shared" si="49"/>
        <v xml:space="preserve">    description:</v>
      </c>
      <c r="J632">
        <f t="shared" si="50"/>
        <v>41</v>
      </c>
      <c r="K632" t="str">
        <f t="shared" si="51"/>
        <v>Wardrobe, 150x60x201 cm</v>
      </c>
      <c r="L632" t="str">
        <f t="shared" si="52"/>
        <v xml:space="preserve">    description: 'Wardrobe, 150x60x201 cm',</v>
      </c>
    </row>
    <row r="633" spans="1:12" x14ac:dyDescent="0.25">
      <c r="A633" t="s">
        <v>518</v>
      </c>
      <c r="H633">
        <f t="shared" si="48"/>
        <v>13</v>
      </c>
      <c r="I633" t="str">
        <f t="shared" si="49"/>
        <v xml:space="preserve">    designer:</v>
      </c>
      <c r="J633">
        <f t="shared" si="50"/>
        <v>45</v>
      </c>
      <c r="K633" t="str">
        <f t="shared" si="51"/>
        <v>Ehlaon Johansson/IKEA of Swede</v>
      </c>
      <c r="L633" t="str">
        <f t="shared" si="52"/>
        <v xml:space="preserve">    designer: 'Ehlaon Johansson/IKEA of Swede',</v>
      </c>
    </row>
    <row r="634" spans="1:12" x14ac:dyDescent="0.25">
      <c r="A634" t="s">
        <v>522</v>
      </c>
      <c r="H634" t="e">
        <f t="shared" si="48"/>
        <v>#VALUE!</v>
      </c>
      <c r="I634" t="e">
        <f t="shared" si="49"/>
        <v>#VALUE!</v>
      </c>
      <c r="J634">
        <f t="shared" si="50"/>
        <v>4</v>
      </c>
      <c r="K634" t="e">
        <f t="shared" si="51"/>
        <v>#VALUE!</v>
      </c>
      <c r="L634" t="str">
        <f>A634</f>
        <v xml:space="preserve">  },</v>
      </c>
    </row>
    <row r="635" spans="1:12" x14ac:dyDescent="0.25">
      <c r="A635" t="s">
        <v>238</v>
      </c>
      <c r="H635" t="e">
        <f t="shared" si="48"/>
        <v>#VALUE!</v>
      </c>
      <c r="I635" t="e">
        <f t="shared" si="49"/>
        <v>#VALUE!</v>
      </c>
      <c r="J635">
        <f t="shared" si="50"/>
        <v>3</v>
      </c>
      <c r="K635" t="e">
        <f t="shared" si="51"/>
        <v>#VALUE!</v>
      </c>
      <c r="L635" t="str">
        <f>A635</f>
        <v xml:space="preserve">  {</v>
      </c>
    </row>
    <row r="636" spans="1:12" x14ac:dyDescent="0.25">
      <c r="A636" t="s">
        <v>519</v>
      </c>
      <c r="H636">
        <f t="shared" si="48"/>
        <v>9</v>
      </c>
      <c r="I636" t="str">
        <f t="shared" si="49"/>
        <v xml:space="preserve">    guid:</v>
      </c>
      <c r="J636">
        <f t="shared" si="50"/>
        <v>47</v>
      </c>
      <c r="K636" t="str">
        <f t="shared" si="51"/>
        <v>6af52c3e-6c75-93c4-4e25-f57d7c474f26</v>
      </c>
      <c r="L636" t="str">
        <f t="shared" si="52"/>
        <v xml:space="preserve">    guid: '6af52c3e-6c75-93c4-4e25-f57d7c474f26',</v>
      </c>
    </row>
    <row r="637" spans="1:12" x14ac:dyDescent="0.25">
      <c r="A637" t="s">
        <v>287</v>
      </c>
      <c r="H637">
        <f t="shared" si="48"/>
        <v>9</v>
      </c>
      <c r="I637" t="str">
        <f t="shared" si="49"/>
        <v xml:space="preserve">    name:</v>
      </c>
      <c r="J637">
        <f t="shared" si="50"/>
        <v>18</v>
      </c>
      <c r="K637" t="str">
        <f t="shared" si="51"/>
        <v>BRIMNES</v>
      </c>
      <c r="L637" t="str">
        <f t="shared" si="52"/>
        <v xml:space="preserve">    name: 'BRIMNES',</v>
      </c>
    </row>
    <row r="638" spans="1:12" x14ac:dyDescent="0.25">
      <c r="A638" t="s">
        <v>487</v>
      </c>
      <c r="H638">
        <f t="shared" si="48"/>
        <v>13</v>
      </c>
      <c r="I638" t="str">
        <f t="shared" si="49"/>
        <v xml:space="preserve">    category:</v>
      </c>
      <c r="J638">
        <f t="shared" si="50"/>
        <v>24</v>
      </c>
      <c r="K638" t="str">
        <f t="shared" si="51"/>
        <v>Wardrobes</v>
      </c>
      <c r="L638" t="str">
        <f t="shared" si="52"/>
        <v xml:space="preserve">    category: 'Wardrobes',</v>
      </c>
    </row>
    <row r="639" spans="1:12" x14ac:dyDescent="0.25">
      <c r="A639" t="s">
        <v>520</v>
      </c>
      <c r="H639">
        <f t="shared" si="48"/>
        <v>10</v>
      </c>
      <c r="I639" t="str">
        <f t="shared" si="49"/>
        <v xml:space="preserve">    price:</v>
      </c>
      <c r="J639">
        <f t="shared" si="50"/>
        <v>15</v>
      </c>
      <c r="K639" t="str">
        <f t="shared" si="51"/>
        <v>475</v>
      </c>
      <c r="L639" t="str">
        <f t="shared" si="52"/>
        <v xml:space="preserve">    price: '475',</v>
      </c>
    </row>
    <row r="640" spans="1:12" x14ac:dyDescent="0.25">
      <c r="A640" t="s">
        <v>521</v>
      </c>
      <c r="H640">
        <f t="shared" si="48"/>
        <v>16</v>
      </c>
      <c r="I640" t="str">
        <f t="shared" si="49"/>
        <v xml:space="preserve">    description:</v>
      </c>
      <c r="J640">
        <f t="shared" si="50"/>
        <v>50</v>
      </c>
      <c r="K640" t="str">
        <f t="shared" si="51"/>
        <v>Wardrobe with 2 doors, 78x190 cm</v>
      </c>
      <c r="L640" t="str">
        <f t="shared" si="52"/>
        <v xml:space="preserve">    description: 'Wardrobe with 2 doors, 78x190 cm',</v>
      </c>
    </row>
    <row r="641" spans="1:12" x14ac:dyDescent="0.25">
      <c r="A641" t="s">
        <v>275</v>
      </c>
      <c r="H641">
        <f t="shared" si="48"/>
        <v>13</v>
      </c>
      <c r="I641" t="str">
        <f t="shared" si="49"/>
        <v xml:space="preserve">    designer:</v>
      </c>
      <c r="J641">
        <f t="shared" si="50"/>
        <v>33</v>
      </c>
      <c r="K641" t="str">
        <f t="shared" si="51"/>
        <v>K Hagberg/M Hagber</v>
      </c>
      <c r="L641" t="str">
        <f t="shared" si="52"/>
        <v xml:space="preserve">    designer: 'K Hagberg/M Hagber',</v>
      </c>
    </row>
    <row r="642" spans="1:12" x14ac:dyDescent="0.25">
      <c r="A642" t="s">
        <v>524</v>
      </c>
      <c r="H642" t="e">
        <f t="shared" si="48"/>
        <v>#VALUE!</v>
      </c>
      <c r="I642" t="e">
        <f t="shared" si="49"/>
        <v>#VALUE!</v>
      </c>
      <c r="J642">
        <f t="shared" si="50"/>
        <v>3</v>
      </c>
      <c r="K642" t="e">
        <f t="shared" si="51"/>
        <v>#VALUE!</v>
      </c>
      <c r="L642" t="s">
        <v>524</v>
      </c>
    </row>
    <row r="643" spans="1:12" x14ac:dyDescent="0.25">
      <c r="A643" t="s">
        <v>523</v>
      </c>
      <c r="H643" t="s">
        <v>523</v>
      </c>
      <c r="I643" t="e">
        <f t="shared" si="49"/>
        <v>#VALUE!</v>
      </c>
      <c r="J643">
        <f t="shared" si="50"/>
        <v>2</v>
      </c>
      <c r="K643" t="e">
        <f t="shared" si="51"/>
        <v>#VALUE!</v>
      </c>
      <c r="L643" t="s">
        <v>523</v>
      </c>
    </row>
    <row r="644" spans="1:12" x14ac:dyDescent="0.25">
      <c r="I644" t="str">
        <f t="shared" ref="I644:I647" si="53">LOWER(LEFT(A644,H644))</f>
        <v/>
      </c>
      <c r="J644">
        <f t="shared" ref="J644:J647" si="54">LEN(A644)</f>
        <v>0</v>
      </c>
      <c r="K644" t="e">
        <f t="shared" ref="K644:K647" si="55">MID(A644,H644+2,J644-H644-2)</f>
        <v>#VALUE!</v>
      </c>
    </row>
    <row r="645" spans="1:12" x14ac:dyDescent="0.25">
      <c r="A645" t="s">
        <v>525</v>
      </c>
      <c r="H645" t="s">
        <v>525</v>
      </c>
      <c r="I645" t="e">
        <f t="shared" si="53"/>
        <v>#VALUE!</v>
      </c>
      <c r="J645">
        <f t="shared" si="54"/>
        <v>37</v>
      </c>
      <c r="K645" t="e">
        <f t="shared" si="55"/>
        <v>#VALUE!</v>
      </c>
      <c r="L645" t="s">
        <v>525</v>
      </c>
    </row>
    <row r="646" spans="1:12" x14ac:dyDescent="0.25">
      <c r="I646" t="str">
        <f t="shared" si="53"/>
        <v/>
      </c>
      <c r="J646">
        <f t="shared" si="54"/>
        <v>0</v>
      </c>
      <c r="K646" t="e">
        <f t="shared" si="55"/>
        <v>#VALUE!</v>
      </c>
    </row>
    <row r="647" spans="1:12" x14ac:dyDescent="0.25">
      <c r="A647" t="s">
        <v>526</v>
      </c>
      <c r="H647" t="s">
        <v>526</v>
      </c>
      <c r="I647" t="e">
        <f t="shared" si="53"/>
        <v>#VALUE!</v>
      </c>
      <c r="J647">
        <f t="shared" si="54"/>
        <v>44</v>
      </c>
      <c r="K647" t="e">
        <f t="shared" si="55"/>
        <v>#VALUE!</v>
      </c>
      <c r="L647" t="s">
        <v>526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F848C-2955-4C3F-A914-46A7627012E4}">
  <dimension ref="A1:A642"/>
  <sheetViews>
    <sheetView tabSelected="1" workbookViewId="0"/>
  </sheetViews>
  <sheetFormatPr defaultRowHeight="15" x14ac:dyDescent="0.25"/>
  <cols>
    <col min="1" max="1" width="60.5703125" bestFit="1" customWidth="1"/>
  </cols>
  <sheetData>
    <row r="1" spans="1:1" x14ac:dyDescent="0.25">
      <c r="A1" t="s">
        <v>237</v>
      </c>
    </row>
    <row r="2" spans="1:1" x14ac:dyDescent="0.25">
      <c r="A2" t="s">
        <v>238</v>
      </c>
    </row>
    <row r="3" spans="1:1" x14ac:dyDescent="0.25">
      <c r="A3" t="s">
        <v>539</v>
      </c>
    </row>
    <row r="4" spans="1:1" x14ac:dyDescent="0.25">
      <c r="A4" t="s">
        <v>540</v>
      </c>
    </row>
    <row r="5" spans="1:1" x14ac:dyDescent="0.25">
      <c r="A5" t="s">
        <v>541</v>
      </c>
    </row>
    <row r="6" spans="1:1" x14ac:dyDescent="0.25">
      <c r="A6" t="s">
        <v>542</v>
      </c>
    </row>
    <row r="7" spans="1:1" x14ac:dyDescent="0.25">
      <c r="A7" t="s">
        <v>543</v>
      </c>
    </row>
    <row r="8" spans="1:1" x14ac:dyDescent="0.25">
      <c r="A8" t="s">
        <v>544</v>
      </c>
    </row>
    <row r="9" spans="1:1" x14ac:dyDescent="0.25">
      <c r="A9" t="s">
        <v>522</v>
      </c>
    </row>
    <row r="10" spans="1:1" x14ac:dyDescent="0.25">
      <c r="A10" t="s">
        <v>238</v>
      </c>
    </row>
    <row r="11" spans="1:1" x14ac:dyDescent="0.25">
      <c r="A11" t="s">
        <v>545</v>
      </c>
    </row>
    <row r="12" spans="1:1" x14ac:dyDescent="0.25">
      <c r="A12" t="s">
        <v>546</v>
      </c>
    </row>
    <row r="13" spans="1:1" x14ac:dyDescent="0.25">
      <c r="A13" t="s">
        <v>541</v>
      </c>
    </row>
    <row r="14" spans="1:1" x14ac:dyDescent="0.25">
      <c r="A14" t="s">
        <v>547</v>
      </c>
    </row>
    <row r="15" spans="1:1" x14ac:dyDescent="0.25">
      <c r="A15" t="s">
        <v>548</v>
      </c>
    </row>
    <row r="16" spans="1:1" x14ac:dyDescent="0.25">
      <c r="A16" t="s">
        <v>549</v>
      </c>
    </row>
    <row r="17" spans="1:1" x14ac:dyDescent="0.25">
      <c r="A17" t="s">
        <v>522</v>
      </c>
    </row>
    <row r="18" spans="1:1" x14ac:dyDescent="0.25">
      <c r="A18" t="s">
        <v>238</v>
      </c>
    </row>
    <row r="19" spans="1:1" x14ac:dyDescent="0.25">
      <c r="A19" t="s">
        <v>550</v>
      </c>
    </row>
    <row r="20" spans="1:1" x14ac:dyDescent="0.25">
      <c r="A20" t="s">
        <v>551</v>
      </c>
    </row>
    <row r="21" spans="1:1" x14ac:dyDescent="0.25">
      <c r="A21" t="s">
        <v>541</v>
      </c>
    </row>
    <row r="22" spans="1:1" x14ac:dyDescent="0.25">
      <c r="A22" t="s">
        <v>552</v>
      </c>
    </row>
    <row r="23" spans="1:1" x14ac:dyDescent="0.25">
      <c r="A23" t="s">
        <v>553</v>
      </c>
    </row>
    <row r="24" spans="1:1" x14ac:dyDescent="0.25">
      <c r="A24" t="s">
        <v>549</v>
      </c>
    </row>
    <row r="25" spans="1:1" x14ac:dyDescent="0.25">
      <c r="A25" t="s">
        <v>522</v>
      </c>
    </row>
    <row r="26" spans="1:1" x14ac:dyDescent="0.25">
      <c r="A26" t="s">
        <v>238</v>
      </c>
    </row>
    <row r="27" spans="1:1" x14ac:dyDescent="0.25">
      <c r="A27" t="s">
        <v>554</v>
      </c>
    </row>
    <row r="28" spans="1:1" x14ac:dyDescent="0.25">
      <c r="A28" t="s">
        <v>555</v>
      </c>
    </row>
    <row r="29" spans="1:1" x14ac:dyDescent="0.25">
      <c r="A29" t="s">
        <v>541</v>
      </c>
    </row>
    <row r="30" spans="1:1" x14ac:dyDescent="0.25">
      <c r="A30" t="s">
        <v>556</v>
      </c>
    </row>
    <row r="31" spans="1:1" x14ac:dyDescent="0.25">
      <c r="A31" t="s">
        <v>557</v>
      </c>
    </row>
    <row r="32" spans="1:1" x14ac:dyDescent="0.25">
      <c r="A32" t="s">
        <v>558</v>
      </c>
    </row>
    <row r="33" spans="1:1" x14ac:dyDescent="0.25">
      <c r="A33" t="s">
        <v>522</v>
      </c>
    </row>
    <row r="34" spans="1:1" x14ac:dyDescent="0.25">
      <c r="A34" t="s">
        <v>238</v>
      </c>
    </row>
    <row r="35" spans="1:1" x14ac:dyDescent="0.25">
      <c r="A35" t="s">
        <v>559</v>
      </c>
    </row>
    <row r="36" spans="1:1" x14ac:dyDescent="0.25">
      <c r="A36" t="s">
        <v>560</v>
      </c>
    </row>
    <row r="37" spans="1:1" x14ac:dyDescent="0.25">
      <c r="A37" t="s">
        <v>541</v>
      </c>
    </row>
    <row r="38" spans="1:1" x14ac:dyDescent="0.25">
      <c r="A38" t="s">
        <v>561</v>
      </c>
    </row>
    <row r="39" spans="1:1" x14ac:dyDescent="0.25">
      <c r="A39" t="s">
        <v>562</v>
      </c>
    </row>
    <row r="40" spans="1:1" x14ac:dyDescent="0.25">
      <c r="A40" t="s">
        <v>563</v>
      </c>
    </row>
    <row r="41" spans="1:1" x14ac:dyDescent="0.25">
      <c r="A41" t="s">
        <v>522</v>
      </c>
    </row>
    <row r="42" spans="1:1" x14ac:dyDescent="0.25">
      <c r="A42" t="s">
        <v>238</v>
      </c>
    </row>
    <row r="43" spans="1:1" x14ac:dyDescent="0.25">
      <c r="A43" t="s">
        <v>564</v>
      </c>
    </row>
    <row r="44" spans="1:1" x14ac:dyDescent="0.25">
      <c r="A44" t="s">
        <v>565</v>
      </c>
    </row>
    <row r="45" spans="1:1" x14ac:dyDescent="0.25">
      <c r="A45" t="s">
        <v>541</v>
      </c>
    </row>
    <row r="46" spans="1:1" x14ac:dyDescent="0.25">
      <c r="A46" t="s">
        <v>566</v>
      </c>
    </row>
    <row r="47" spans="1:1" x14ac:dyDescent="0.25">
      <c r="A47" t="s">
        <v>567</v>
      </c>
    </row>
    <row r="48" spans="1:1" x14ac:dyDescent="0.25">
      <c r="A48" t="s">
        <v>568</v>
      </c>
    </row>
    <row r="49" spans="1:1" x14ac:dyDescent="0.25">
      <c r="A49" t="s">
        <v>522</v>
      </c>
    </row>
    <row r="50" spans="1:1" x14ac:dyDescent="0.25">
      <c r="A50" t="s">
        <v>238</v>
      </c>
    </row>
    <row r="51" spans="1:1" x14ac:dyDescent="0.25">
      <c r="A51" t="s">
        <v>569</v>
      </c>
    </row>
    <row r="52" spans="1:1" x14ac:dyDescent="0.25">
      <c r="A52" t="s">
        <v>570</v>
      </c>
    </row>
    <row r="53" spans="1:1" x14ac:dyDescent="0.25">
      <c r="A53" t="s">
        <v>541</v>
      </c>
    </row>
    <row r="54" spans="1:1" x14ac:dyDescent="0.25">
      <c r="A54" t="s">
        <v>571</v>
      </c>
    </row>
    <row r="55" spans="1:1" x14ac:dyDescent="0.25">
      <c r="A55" t="s">
        <v>572</v>
      </c>
    </row>
    <row r="56" spans="1:1" x14ac:dyDescent="0.25">
      <c r="A56" t="s">
        <v>573</v>
      </c>
    </row>
    <row r="57" spans="1:1" x14ac:dyDescent="0.25">
      <c r="A57" t="s">
        <v>522</v>
      </c>
    </row>
    <row r="58" spans="1:1" x14ac:dyDescent="0.25">
      <c r="A58" t="s">
        <v>238</v>
      </c>
    </row>
    <row r="59" spans="1:1" x14ac:dyDescent="0.25">
      <c r="A59" t="s">
        <v>574</v>
      </c>
    </row>
    <row r="60" spans="1:1" x14ac:dyDescent="0.25">
      <c r="A60" t="s">
        <v>575</v>
      </c>
    </row>
    <row r="61" spans="1:1" x14ac:dyDescent="0.25">
      <c r="A61" t="s">
        <v>541</v>
      </c>
    </row>
    <row r="62" spans="1:1" x14ac:dyDescent="0.25">
      <c r="A62" t="s">
        <v>576</v>
      </c>
    </row>
    <row r="63" spans="1:1" x14ac:dyDescent="0.25">
      <c r="A63" t="s">
        <v>577</v>
      </c>
    </row>
    <row r="64" spans="1:1" x14ac:dyDescent="0.25">
      <c r="A64" t="s">
        <v>578</v>
      </c>
    </row>
    <row r="65" spans="1:1" x14ac:dyDescent="0.25">
      <c r="A65" t="s">
        <v>522</v>
      </c>
    </row>
    <row r="66" spans="1:1" x14ac:dyDescent="0.25">
      <c r="A66" t="s">
        <v>238</v>
      </c>
    </row>
    <row r="67" spans="1:1" x14ac:dyDescent="0.25">
      <c r="A67" t="s">
        <v>579</v>
      </c>
    </row>
    <row r="68" spans="1:1" x14ac:dyDescent="0.25">
      <c r="A68" t="s">
        <v>570</v>
      </c>
    </row>
    <row r="69" spans="1:1" x14ac:dyDescent="0.25">
      <c r="A69" t="s">
        <v>541</v>
      </c>
    </row>
    <row r="70" spans="1:1" x14ac:dyDescent="0.25">
      <c r="A70" t="s">
        <v>571</v>
      </c>
    </row>
    <row r="71" spans="1:1" x14ac:dyDescent="0.25">
      <c r="A71" t="s">
        <v>572</v>
      </c>
    </row>
    <row r="72" spans="1:1" x14ac:dyDescent="0.25">
      <c r="A72" t="s">
        <v>573</v>
      </c>
    </row>
    <row r="73" spans="1:1" x14ac:dyDescent="0.25">
      <c r="A73" t="s">
        <v>522</v>
      </c>
    </row>
    <row r="74" spans="1:1" x14ac:dyDescent="0.25">
      <c r="A74" t="s">
        <v>238</v>
      </c>
    </row>
    <row r="75" spans="1:1" x14ac:dyDescent="0.25">
      <c r="A75" t="s">
        <v>580</v>
      </c>
    </row>
    <row r="76" spans="1:1" x14ac:dyDescent="0.25">
      <c r="A76" t="s">
        <v>581</v>
      </c>
    </row>
    <row r="77" spans="1:1" x14ac:dyDescent="0.25">
      <c r="A77" t="s">
        <v>541</v>
      </c>
    </row>
    <row r="78" spans="1:1" x14ac:dyDescent="0.25">
      <c r="A78" t="s">
        <v>582</v>
      </c>
    </row>
    <row r="79" spans="1:1" x14ac:dyDescent="0.25">
      <c r="A79" t="s">
        <v>553</v>
      </c>
    </row>
    <row r="80" spans="1:1" x14ac:dyDescent="0.25">
      <c r="A80" t="s">
        <v>583</v>
      </c>
    </row>
    <row r="81" spans="1:1" x14ac:dyDescent="0.25">
      <c r="A81" t="s">
        <v>522</v>
      </c>
    </row>
    <row r="82" spans="1:1" x14ac:dyDescent="0.25">
      <c r="A82" t="s">
        <v>238</v>
      </c>
    </row>
    <row r="83" spans="1:1" x14ac:dyDescent="0.25">
      <c r="A83" t="s">
        <v>584</v>
      </c>
    </row>
    <row r="84" spans="1:1" x14ac:dyDescent="0.25">
      <c r="A84" t="s">
        <v>585</v>
      </c>
    </row>
    <row r="85" spans="1:1" x14ac:dyDescent="0.25">
      <c r="A85" t="s">
        <v>586</v>
      </c>
    </row>
    <row r="86" spans="1:1" x14ac:dyDescent="0.25">
      <c r="A86" t="s">
        <v>587</v>
      </c>
    </row>
    <row r="87" spans="1:1" x14ac:dyDescent="0.25">
      <c r="A87" t="s">
        <v>588</v>
      </c>
    </row>
    <row r="88" spans="1:1" x14ac:dyDescent="0.25">
      <c r="A88" t="s">
        <v>589</v>
      </c>
    </row>
    <row r="89" spans="1:1" x14ac:dyDescent="0.25">
      <c r="A89" t="s">
        <v>522</v>
      </c>
    </row>
    <row r="90" spans="1:1" x14ac:dyDescent="0.25">
      <c r="A90" t="s">
        <v>238</v>
      </c>
    </row>
    <row r="91" spans="1:1" x14ac:dyDescent="0.25">
      <c r="A91" t="s">
        <v>590</v>
      </c>
    </row>
    <row r="92" spans="1:1" x14ac:dyDescent="0.25">
      <c r="A92" t="s">
        <v>591</v>
      </c>
    </row>
    <row r="93" spans="1:1" x14ac:dyDescent="0.25">
      <c r="A93" t="s">
        <v>586</v>
      </c>
    </row>
    <row r="94" spans="1:1" x14ac:dyDescent="0.25">
      <c r="A94" t="s">
        <v>592</v>
      </c>
    </row>
    <row r="95" spans="1:1" x14ac:dyDescent="0.25">
      <c r="A95" t="s">
        <v>593</v>
      </c>
    </row>
    <row r="96" spans="1:1" x14ac:dyDescent="0.25">
      <c r="A96" t="s">
        <v>594</v>
      </c>
    </row>
    <row r="97" spans="1:1" x14ac:dyDescent="0.25">
      <c r="A97" t="s">
        <v>522</v>
      </c>
    </row>
    <row r="98" spans="1:1" x14ac:dyDescent="0.25">
      <c r="A98" t="s">
        <v>238</v>
      </c>
    </row>
    <row r="99" spans="1:1" x14ac:dyDescent="0.25">
      <c r="A99" t="s">
        <v>595</v>
      </c>
    </row>
    <row r="100" spans="1:1" x14ac:dyDescent="0.25">
      <c r="A100" t="s">
        <v>596</v>
      </c>
    </row>
    <row r="101" spans="1:1" x14ac:dyDescent="0.25">
      <c r="A101" t="s">
        <v>586</v>
      </c>
    </row>
    <row r="102" spans="1:1" x14ac:dyDescent="0.25">
      <c r="A102" t="s">
        <v>597</v>
      </c>
    </row>
    <row r="103" spans="1:1" x14ac:dyDescent="0.25">
      <c r="A103" t="s">
        <v>598</v>
      </c>
    </row>
    <row r="104" spans="1:1" x14ac:dyDescent="0.25">
      <c r="A104" t="s">
        <v>599</v>
      </c>
    </row>
    <row r="105" spans="1:1" x14ac:dyDescent="0.25">
      <c r="A105" t="s">
        <v>522</v>
      </c>
    </row>
    <row r="106" spans="1:1" x14ac:dyDescent="0.25">
      <c r="A106" t="s">
        <v>238</v>
      </c>
    </row>
    <row r="107" spans="1:1" x14ac:dyDescent="0.25">
      <c r="A107" t="s">
        <v>600</v>
      </c>
    </row>
    <row r="108" spans="1:1" x14ac:dyDescent="0.25">
      <c r="A108" t="s">
        <v>591</v>
      </c>
    </row>
    <row r="109" spans="1:1" x14ac:dyDescent="0.25">
      <c r="A109" t="s">
        <v>586</v>
      </c>
    </row>
    <row r="110" spans="1:1" x14ac:dyDescent="0.25">
      <c r="A110" t="s">
        <v>601</v>
      </c>
    </row>
    <row r="111" spans="1:1" x14ac:dyDescent="0.25">
      <c r="A111" t="s">
        <v>602</v>
      </c>
    </row>
    <row r="112" spans="1:1" x14ac:dyDescent="0.25">
      <c r="A112" t="s">
        <v>594</v>
      </c>
    </row>
    <row r="113" spans="1:1" x14ac:dyDescent="0.25">
      <c r="A113" t="s">
        <v>522</v>
      </c>
    </row>
    <row r="114" spans="1:1" x14ac:dyDescent="0.25">
      <c r="A114" t="s">
        <v>238</v>
      </c>
    </row>
    <row r="115" spans="1:1" x14ac:dyDescent="0.25">
      <c r="A115" t="s">
        <v>603</v>
      </c>
    </row>
    <row r="116" spans="1:1" x14ac:dyDescent="0.25">
      <c r="A116" t="s">
        <v>604</v>
      </c>
    </row>
    <row r="117" spans="1:1" x14ac:dyDescent="0.25">
      <c r="A117" t="s">
        <v>586</v>
      </c>
    </row>
    <row r="118" spans="1:1" x14ac:dyDescent="0.25">
      <c r="A118" t="s">
        <v>605</v>
      </c>
    </row>
    <row r="119" spans="1:1" x14ac:dyDescent="0.25">
      <c r="A119" t="s">
        <v>602</v>
      </c>
    </row>
    <row r="120" spans="1:1" x14ac:dyDescent="0.25">
      <c r="A120" t="s">
        <v>599</v>
      </c>
    </row>
    <row r="121" spans="1:1" x14ac:dyDescent="0.25">
      <c r="A121" t="s">
        <v>522</v>
      </c>
    </row>
    <row r="122" spans="1:1" x14ac:dyDescent="0.25">
      <c r="A122" t="s">
        <v>238</v>
      </c>
    </row>
    <row r="123" spans="1:1" x14ac:dyDescent="0.25">
      <c r="A123" t="s">
        <v>606</v>
      </c>
    </row>
    <row r="124" spans="1:1" x14ac:dyDescent="0.25">
      <c r="A124" t="s">
        <v>607</v>
      </c>
    </row>
    <row r="125" spans="1:1" x14ac:dyDescent="0.25">
      <c r="A125" t="s">
        <v>586</v>
      </c>
    </row>
    <row r="126" spans="1:1" x14ac:dyDescent="0.25">
      <c r="A126" t="s">
        <v>608</v>
      </c>
    </row>
    <row r="127" spans="1:1" x14ac:dyDescent="0.25">
      <c r="A127" t="s">
        <v>609</v>
      </c>
    </row>
    <row r="128" spans="1:1" x14ac:dyDescent="0.25">
      <c r="A128" t="s">
        <v>610</v>
      </c>
    </row>
    <row r="129" spans="1:1" x14ac:dyDescent="0.25">
      <c r="A129" t="s">
        <v>522</v>
      </c>
    </row>
    <row r="130" spans="1:1" x14ac:dyDescent="0.25">
      <c r="A130" t="s">
        <v>238</v>
      </c>
    </row>
    <row r="131" spans="1:1" x14ac:dyDescent="0.25">
      <c r="A131" t="s">
        <v>611</v>
      </c>
    </row>
    <row r="132" spans="1:1" x14ac:dyDescent="0.25">
      <c r="A132" t="s">
        <v>591</v>
      </c>
    </row>
    <row r="133" spans="1:1" x14ac:dyDescent="0.25">
      <c r="A133" t="s">
        <v>586</v>
      </c>
    </row>
    <row r="134" spans="1:1" x14ac:dyDescent="0.25">
      <c r="A134" t="s">
        <v>601</v>
      </c>
    </row>
    <row r="135" spans="1:1" x14ac:dyDescent="0.25">
      <c r="A135" t="s">
        <v>593</v>
      </c>
    </row>
    <row r="136" spans="1:1" x14ac:dyDescent="0.25">
      <c r="A136" t="s">
        <v>612</v>
      </c>
    </row>
    <row r="137" spans="1:1" x14ac:dyDescent="0.25">
      <c r="A137" t="s">
        <v>522</v>
      </c>
    </row>
    <row r="138" spans="1:1" x14ac:dyDescent="0.25">
      <c r="A138" t="s">
        <v>238</v>
      </c>
    </row>
    <row r="139" spans="1:1" x14ac:dyDescent="0.25">
      <c r="A139" t="s">
        <v>613</v>
      </c>
    </row>
    <row r="140" spans="1:1" x14ac:dyDescent="0.25">
      <c r="A140" t="s">
        <v>614</v>
      </c>
    </row>
    <row r="141" spans="1:1" x14ac:dyDescent="0.25">
      <c r="A141" t="s">
        <v>586</v>
      </c>
    </row>
    <row r="142" spans="1:1" x14ac:dyDescent="0.25">
      <c r="A142" t="s">
        <v>615</v>
      </c>
    </row>
    <row r="143" spans="1:1" x14ac:dyDescent="0.25">
      <c r="A143" t="s">
        <v>602</v>
      </c>
    </row>
    <row r="144" spans="1:1" x14ac:dyDescent="0.25">
      <c r="A144" t="s">
        <v>616</v>
      </c>
    </row>
    <row r="145" spans="1:1" x14ac:dyDescent="0.25">
      <c r="A145" t="s">
        <v>522</v>
      </c>
    </row>
    <row r="146" spans="1:1" x14ac:dyDescent="0.25">
      <c r="A146" t="s">
        <v>238</v>
      </c>
    </row>
    <row r="147" spans="1:1" x14ac:dyDescent="0.25">
      <c r="A147" t="s">
        <v>617</v>
      </c>
    </row>
    <row r="148" spans="1:1" x14ac:dyDescent="0.25">
      <c r="A148" t="s">
        <v>585</v>
      </c>
    </row>
    <row r="149" spans="1:1" x14ac:dyDescent="0.25">
      <c r="A149" t="s">
        <v>586</v>
      </c>
    </row>
    <row r="150" spans="1:1" x14ac:dyDescent="0.25">
      <c r="A150" t="s">
        <v>618</v>
      </c>
    </row>
    <row r="151" spans="1:1" x14ac:dyDescent="0.25">
      <c r="A151" t="s">
        <v>619</v>
      </c>
    </row>
    <row r="152" spans="1:1" x14ac:dyDescent="0.25">
      <c r="A152" t="s">
        <v>573</v>
      </c>
    </row>
    <row r="153" spans="1:1" x14ac:dyDescent="0.25">
      <c r="A153" t="s">
        <v>522</v>
      </c>
    </row>
    <row r="154" spans="1:1" x14ac:dyDescent="0.25">
      <c r="A154" t="s">
        <v>238</v>
      </c>
    </row>
    <row r="155" spans="1:1" x14ac:dyDescent="0.25">
      <c r="A155" t="s">
        <v>620</v>
      </c>
    </row>
    <row r="156" spans="1:1" x14ac:dyDescent="0.25">
      <c r="A156" t="s">
        <v>621</v>
      </c>
    </row>
    <row r="157" spans="1:1" x14ac:dyDescent="0.25">
      <c r="A157" t="s">
        <v>586</v>
      </c>
    </row>
    <row r="158" spans="1:1" x14ac:dyDescent="0.25">
      <c r="A158" t="s">
        <v>622</v>
      </c>
    </row>
    <row r="159" spans="1:1" x14ac:dyDescent="0.25">
      <c r="A159" t="s">
        <v>602</v>
      </c>
    </row>
    <row r="160" spans="1:1" x14ac:dyDescent="0.25">
      <c r="A160" t="s">
        <v>623</v>
      </c>
    </row>
    <row r="161" spans="1:1" x14ac:dyDescent="0.25">
      <c r="A161" t="s">
        <v>522</v>
      </c>
    </row>
    <row r="162" spans="1:1" x14ac:dyDescent="0.25">
      <c r="A162" t="s">
        <v>238</v>
      </c>
    </row>
    <row r="163" spans="1:1" x14ac:dyDescent="0.25">
      <c r="A163" t="s">
        <v>624</v>
      </c>
    </row>
    <row r="164" spans="1:1" x14ac:dyDescent="0.25">
      <c r="A164" t="s">
        <v>585</v>
      </c>
    </row>
    <row r="165" spans="1:1" x14ac:dyDescent="0.25">
      <c r="A165" t="s">
        <v>586</v>
      </c>
    </row>
    <row r="166" spans="1:1" x14ac:dyDescent="0.25">
      <c r="A166" t="s">
        <v>587</v>
      </c>
    </row>
    <row r="167" spans="1:1" x14ac:dyDescent="0.25">
      <c r="A167" t="s">
        <v>588</v>
      </c>
    </row>
    <row r="168" spans="1:1" x14ac:dyDescent="0.25">
      <c r="A168" t="s">
        <v>589</v>
      </c>
    </row>
    <row r="169" spans="1:1" x14ac:dyDescent="0.25">
      <c r="A169" t="s">
        <v>522</v>
      </c>
    </row>
    <row r="170" spans="1:1" x14ac:dyDescent="0.25">
      <c r="A170" t="s">
        <v>238</v>
      </c>
    </row>
    <row r="171" spans="1:1" x14ac:dyDescent="0.25">
      <c r="A171" t="s">
        <v>625</v>
      </c>
    </row>
    <row r="172" spans="1:1" x14ac:dyDescent="0.25">
      <c r="A172" t="s">
        <v>591</v>
      </c>
    </row>
    <row r="173" spans="1:1" x14ac:dyDescent="0.25">
      <c r="A173" t="s">
        <v>586</v>
      </c>
    </row>
    <row r="174" spans="1:1" x14ac:dyDescent="0.25">
      <c r="A174" t="s">
        <v>592</v>
      </c>
    </row>
    <row r="175" spans="1:1" x14ac:dyDescent="0.25">
      <c r="A175" t="s">
        <v>593</v>
      </c>
    </row>
    <row r="176" spans="1:1" x14ac:dyDescent="0.25">
      <c r="A176" t="s">
        <v>594</v>
      </c>
    </row>
    <row r="177" spans="1:1" x14ac:dyDescent="0.25">
      <c r="A177" t="s">
        <v>522</v>
      </c>
    </row>
    <row r="178" spans="1:1" x14ac:dyDescent="0.25">
      <c r="A178" t="s">
        <v>238</v>
      </c>
    </row>
    <row r="179" spans="1:1" x14ac:dyDescent="0.25">
      <c r="A179" t="s">
        <v>626</v>
      </c>
    </row>
    <row r="180" spans="1:1" x14ac:dyDescent="0.25">
      <c r="A180" t="s">
        <v>596</v>
      </c>
    </row>
    <row r="181" spans="1:1" x14ac:dyDescent="0.25">
      <c r="A181" t="s">
        <v>586</v>
      </c>
    </row>
    <row r="182" spans="1:1" x14ac:dyDescent="0.25">
      <c r="A182" t="s">
        <v>597</v>
      </c>
    </row>
    <row r="183" spans="1:1" x14ac:dyDescent="0.25">
      <c r="A183" t="s">
        <v>598</v>
      </c>
    </row>
    <row r="184" spans="1:1" x14ac:dyDescent="0.25">
      <c r="A184" t="s">
        <v>599</v>
      </c>
    </row>
    <row r="185" spans="1:1" x14ac:dyDescent="0.25">
      <c r="A185" t="s">
        <v>522</v>
      </c>
    </row>
    <row r="186" spans="1:1" x14ac:dyDescent="0.25">
      <c r="A186" t="s">
        <v>238</v>
      </c>
    </row>
    <row r="187" spans="1:1" x14ac:dyDescent="0.25">
      <c r="A187" t="s">
        <v>627</v>
      </c>
    </row>
    <row r="188" spans="1:1" x14ac:dyDescent="0.25">
      <c r="A188" t="s">
        <v>591</v>
      </c>
    </row>
    <row r="189" spans="1:1" x14ac:dyDescent="0.25">
      <c r="A189" t="s">
        <v>586</v>
      </c>
    </row>
    <row r="190" spans="1:1" x14ac:dyDescent="0.25">
      <c r="A190" t="s">
        <v>601</v>
      </c>
    </row>
    <row r="191" spans="1:1" x14ac:dyDescent="0.25">
      <c r="A191" t="s">
        <v>602</v>
      </c>
    </row>
    <row r="192" spans="1:1" x14ac:dyDescent="0.25">
      <c r="A192" t="s">
        <v>594</v>
      </c>
    </row>
    <row r="193" spans="1:1" x14ac:dyDescent="0.25">
      <c r="A193" t="s">
        <v>522</v>
      </c>
    </row>
    <row r="194" spans="1:1" x14ac:dyDescent="0.25">
      <c r="A194" t="s">
        <v>238</v>
      </c>
    </row>
    <row r="195" spans="1:1" x14ac:dyDescent="0.25">
      <c r="A195" t="s">
        <v>628</v>
      </c>
    </row>
    <row r="196" spans="1:1" x14ac:dyDescent="0.25">
      <c r="A196" t="s">
        <v>604</v>
      </c>
    </row>
    <row r="197" spans="1:1" x14ac:dyDescent="0.25">
      <c r="A197" t="s">
        <v>586</v>
      </c>
    </row>
    <row r="198" spans="1:1" x14ac:dyDescent="0.25">
      <c r="A198" t="s">
        <v>605</v>
      </c>
    </row>
    <row r="199" spans="1:1" x14ac:dyDescent="0.25">
      <c r="A199" t="s">
        <v>602</v>
      </c>
    </row>
    <row r="200" spans="1:1" x14ac:dyDescent="0.25">
      <c r="A200" t="s">
        <v>599</v>
      </c>
    </row>
    <row r="201" spans="1:1" x14ac:dyDescent="0.25">
      <c r="A201" t="s">
        <v>522</v>
      </c>
    </row>
    <row r="202" spans="1:1" x14ac:dyDescent="0.25">
      <c r="A202" t="s">
        <v>238</v>
      </c>
    </row>
    <row r="203" spans="1:1" x14ac:dyDescent="0.25">
      <c r="A203" t="s">
        <v>629</v>
      </c>
    </row>
    <row r="204" spans="1:1" x14ac:dyDescent="0.25">
      <c r="A204" t="s">
        <v>607</v>
      </c>
    </row>
    <row r="205" spans="1:1" x14ac:dyDescent="0.25">
      <c r="A205" t="s">
        <v>586</v>
      </c>
    </row>
    <row r="206" spans="1:1" x14ac:dyDescent="0.25">
      <c r="A206" t="s">
        <v>608</v>
      </c>
    </row>
    <row r="207" spans="1:1" x14ac:dyDescent="0.25">
      <c r="A207" t="s">
        <v>609</v>
      </c>
    </row>
    <row r="208" spans="1:1" x14ac:dyDescent="0.25">
      <c r="A208" t="s">
        <v>610</v>
      </c>
    </row>
    <row r="209" spans="1:1" x14ac:dyDescent="0.25">
      <c r="A209" t="s">
        <v>522</v>
      </c>
    </row>
    <row r="210" spans="1:1" x14ac:dyDescent="0.25">
      <c r="A210" t="s">
        <v>238</v>
      </c>
    </row>
    <row r="211" spans="1:1" x14ac:dyDescent="0.25">
      <c r="A211" t="s">
        <v>630</v>
      </c>
    </row>
    <row r="212" spans="1:1" x14ac:dyDescent="0.25">
      <c r="A212" t="s">
        <v>591</v>
      </c>
    </row>
    <row r="213" spans="1:1" x14ac:dyDescent="0.25">
      <c r="A213" t="s">
        <v>586</v>
      </c>
    </row>
    <row r="214" spans="1:1" x14ac:dyDescent="0.25">
      <c r="A214" t="s">
        <v>601</v>
      </c>
    </row>
    <row r="215" spans="1:1" x14ac:dyDescent="0.25">
      <c r="A215" t="s">
        <v>593</v>
      </c>
    </row>
    <row r="216" spans="1:1" x14ac:dyDescent="0.25">
      <c r="A216" t="s">
        <v>612</v>
      </c>
    </row>
    <row r="217" spans="1:1" x14ac:dyDescent="0.25">
      <c r="A217" t="s">
        <v>522</v>
      </c>
    </row>
    <row r="218" spans="1:1" x14ac:dyDescent="0.25">
      <c r="A218" t="s">
        <v>238</v>
      </c>
    </row>
    <row r="219" spans="1:1" x14ac:dyDescent="0.25">
      <c r="A219" t="s">
        <v>631</v>
      </c>
    </row>
    <row r="220" spans="1:1" x14ac:dyDescent="0.25">
      <c r="A220" t="s">
        <v>614</v>
      </c>
    </row>
    <row r="221" spans="1:1" x14ac:dyDescent="0.25">
      <c r="A221" t="s">
        <v>586</v>
      </c>
    </row>
    <row r="222" spans="1:1" x14ac:dyDescent="0.25">
      <c r="A222" t="s">
        <v>615</v>
      </c>
    </row>
    <row r="223" spans="1:1" x14ac:dyDescent="0.25">
      <c r="A223" t="s">
        <v>602</v>
      </c>
    </row>
    <row r="224" spans="1:1" x14ac:dyDescent="0.25">
      <c r="A224" t="s">
        <v>616</v>
      </c>
    </row>
    <row r="225" spans="1:1" x14ac:dyDescent="0.25">
      <c r="A225" t="s">
        <v>522</v>
      </c>
    </row>
    <row r="226" spans="1:1" x14ac:dyDescent="0.25">
      <c r="A226" t="s">
        <v>238</v>
      </c>
    </row>
    <row r="227" spans="1:1" x14ac:dyDescent="0.25">
      <c r="A227" t="s">
        <v>632</v>
      </c>
    </row>
    <row r="228" spans="1:1" x14ac:dyDescent="0.25">
      <c r="A228" t="s">
        <v>585</v>
      </c>
    </row>
    <row r="229" spans="1:1" x14ac:dyDescent="0.25">
      <c r="A229" t="s">
        <v>586</v>
      </c>
    </row>
    <row r="230" spans="1:1" x14ac:dyDescent="0.25">
      <c r="A230" t="s">
        <v>618</v>
      </c>
    </row>
    <row r="231" spans="1:1" x14ac:dyDescent="0.25">
      <c r="A231" t="s">
        <v>619</v>
      </c>
    </row>
    <row r="232" spans="1:1" x14ac:dyDescent="0.25">
      <c r="A232" t="s">
        <v>573</v>
      </c>
    </row>
    <row r="233" spans="1:1" x14ac:dyDescent="0.25">
      <c r="A233" t="s">
        <v>522</v>
      </c>
    </row>
    <row r="234" spans="1:1" x14ac:dyDescent="0.25">
      <c r="A234" t="s">
        <v>238</v>
      </c>
    </row>
    <row r="235" spans="1:1" x14ac:dyDescent="0.25">
      <c r="A235" t="s">
        <v>633</v>
      </c>
    </row>
    <row r="236" spans="1:1" x14ac:dyDescent="0.25">
      <c r="A236" t="s">
        <v>621</v>
      </c>
    </row>
    <row r="237" spans="1:1" x14ac:dyDescent="0.25">
      <c r="A237" t="s">
        <v>586</v>
      </c>
    </row>
    <row r="238" spans="1:1" x14ac:dyDescent="0.25">
      <c r="A238" t="s">
        <v>622</v>
      </c>
    </row>
    <row r="239" spans="1:1" x14ac:dyDescent="0.25">
      <c r="A239" t="s">
        <v>602</v>
      </c>
    </row>
    <row r="240" spans="1:1" x14ac:dyDescent="0.25">
      <c r="A240" t="s">
        <v>623</v>
      </c>
    </row>
    <row r="241" spans="1:1" x14ac:dyDescent="0.25">
      <c r="A241" t="s">
        <v>522</v>
      </c>
    </row>
    <row r="242" spans="1:1" x14ac:dyDescent="0.25">
      <c r="A242" t="s">
        <v>238</v>
      </c>
    </row>
    <row r="243" spans="1:1" x14ac:dyDescent="0.25">
      <c r="A243" t="s">
        <v>634</v>
      </c>
    </row>
    <row r="244" spans="1:1" x14ac:dyDescent="0.25">
      <c r="A244" t="s">
        <v>635</v>
      </c>
    </row>
    <row r="245" spans="1:1" x14ac:dyDescent="0.25">
      <c r="A245" t="s">
        <v>636</v>
      </c>
    </row>
    <row r="246" spans="1:1" x14ac:dyDescent="0.25">
      <c r="A246" t="s">
        <v>637</v>
      </c>
    </row>
    <row r="247" spans="1:1" x14ac:dyDescent="0.25">
      <c r="A247" t="s">
        <v>638</v>
      </c>
    </row>
    <row r="248" spans="1:1" x14ac:dyDescent="0.25">
      <c r="A248" t="s">
        <v>639</v>
      </c>
    </row>
    <row r="249" spans="1:1" x14ac:dyDescent="0.25">
      <c r="A249" t="s">
        <v>522</v>
      </c>
    </row>
    <row r="250" spans="1:1" x14ac:dyDescent="0.25">
      <c r="A250" t="s">
        <v>238</v>
      </c>
    </row>
    <row r="251" spans="1:1" x14ac:dyDescent="0.25">
      <c r="A251" t="s">
        <v>640</v>
      </c>
    </row>
    <row r="252" spans="1:1" x14ac:dyDescent="0.25">
      <c r="A252" t="s">
        <v>641</v>
      </c>
    </row>
    <row r="253" spans="1:1" x14ac:dyDescent="0.25">
      <c r="A253" t="s">
        <v>636</v>
      </c>
    </row>
    <row r="254" spans="1:1" x14ac:dyDescent="0.25">
      <c r="A254" t="s">
        <v>642</v>
      </c>
    </row>
    <row r="255" spans="1:1" x14ac:dyDescent="0.25">
      <c r="A255" t="s">
        <v>643</v>
      </c>
    </row>
    <row r="256" spans="1:1" x14ac:dyDescent="0.25">
      <c r="A256" t="s">
        <v>644</v>
      </c>
    </row>
    <row r="257" spans="1:1" x14ac:dyDescent="0.25">
      <c r="A257" t="s">
        <v>522</v>
      </c>
    </row>
    <row r="258" spans="1:1" x14ac:dyDescent="0.25">
      <c r="A258" t="s">
        <v>238</v>
      </c>
    </row>
    <row r="259" spans="1:1" x14ac:dyDescent="0.25">
      <c r="A259" t="s">
        <v>645</v>
      </c>
    </row>
    <row r="260" spans="1:1" x14ac:dyDescent="0.25">
      <c r="A260" t="s">
        <v>646</v>
      </c>
    </row>
    <row r="261" spans="1:1" x14ac:dyDescent="0.25">
      <c r="A261" t="s">
        <v>636</v>
      </c>
    </row>
    <row r="262" spans="1:1" x14ac:dyDescent="0.25">
      <c r="A262" t="s">
        <v>647</v>
      </c>
    </row>
    <row r="263" spans="1:1" x14ac:dyDescent="0.25">
      <c r="A263" t="s">
        <v>648</v>
      </c>
    </row>
    <row r="264" spans="1:1" x14ac:dyDescent="0.25">
      <c r="A264" t="s">
        <v>594</v>
      </c>
    </row>
    <row r="265" spans="1:1" x14ac:dyDescent="0.25">
      <c r="A265" t="s">
        <v>522</v>
      </c>
    </row>
    <row r="266" spans="1:1" x14ac:dyDescent="0.25">
      <c r="A266" t="s">
        <v>238</v>
      </c>
    </row>
    <row r="267" spans="1:1" x14ac:dyDescent="0.25">
      <c r="A267" t="s">
        <v>649</v>
      </c>
    </row>
    <row r="268" spans="1:1" x14ac:dyDescent="0.25">
      <c r="A268" t="s">
        <v>650</v>
      </c>
    </row>
    <row r="269" spans="1:1" x14ac:dyDescent="0.25">
      <c r="A269" t="s">
        <v>636</v>
      </c>
    </row>
    <row r="270" spans="1:1" x14ac:dyDescent="0.25">
      <c r="A270" t="s">
        <v>651</v>
      </c>
    </row>
    <row r="271" spans="1:1" x14ac:dyDescent="0.25">
      <c r="A271" t="s">
        <v>652</v>
      </c>
    </row>
    <row r="272" spans="1:1" x14ac:dyDescent="0.25">
      <c r="A272" t="s">
        <v>639</v>
      </c>
    </row>
    <row r="273" spans="1:1" x14ac:dyDescent="0.25">
      <c r="A273" t="s">
        <v>522</v>
      </c>
    </row>
    <row r="274" spans="1:1" x14ac:dyDescent="0.25">
      <c r="A274" t="s">
        <v>238</v>
      </c>
    </row>
    <row r="275" spans="1:1" x14ac:dyDescent="0.25">
      <c r="A275" t="s">
        <v>653</v>
      </c>
    </row>
    <row r="276" spans="1:1" x14ac:dyDescent="0.25">
      <c r="A276" t="s">
        <v>654</v>
      </c>
    </row>
    <row r="277" spans="1:1" x14ac:dyDescent="0.25">
      <c r="A277" t="s">
        <v>636</v>
      </c>
    </row>
    <row r="278" spans="1:1" x14ac:dyDescent="0.25">
      <c r="A278" t="s">
        <v>655</v>
      </c>
    </row>
    <row r="279" spans="1:1" x14ac:dyDescent="0.25">
      <c r="A279" t="s">
        <v>656</v>
      </c>
    </row>
    <row r="280" spans="1:1" x14ac:dyDescent="0.25">
      <c r="A280" t="s">
        <v>549</v>
      </c>
    </row>
    <row r="281" spans="1:1" x14ac:dyDescent="0.25">
      <c r="A281" t="s">
        <v>522</v>
      </c>
    </row>
    <row r="282" spans="1:1" x14ac:dyDescent="0.25">
      <c r="A282" t="s">
        <v>238</v>
      </c>
    </row>
    <row r="283" spans="1:1" x14ac:dyDescent="0.25">
      <c r="A283" t="s">
        <v>657</v>
      </c>
    </row>
    <row r="284" spans="1:1" x14ac:dyDescent="0.25">
      <c r="A284" t="s">
        <v>658</v>
      </c>
    </row>
    <row r="285" spans="1:1" x14ac:dyDescent="0.25">
      <c r="A285" t="s">
        <v>636</v>
      </c>
    </row>
    <row r="286" spans="1:1" x14ac:dyDescent="0.25">
      <c r="A286" t="s">
        <v>651</v>
      </c>
    </row>
    <row r="287" spans="1:1" x14ac:dyDescent="0.25">
      <c r="A287" t="s">
        <v>659</v>
      </c>
    </row>
    <row r="288" spans="1:1" x14ac:dyDescent="0.25">
      <c r="A288" t="s">
        <v>639</v>
      </c>
    </row>
    <row r="289" spans="1:1" x14ac:dyDescent="0.25">
      <c r="A289" t="s">
        <v>522</v>
      </c>
    </row>
    <row r="290" spans="1:1" x14ac:dyDescent="0.25">
      <c r="A290" t="s">
        <v>238</v>
      </c>
    </row>
    <row r="291" spans="1:1" x14ac:dyDescent="0.25">
      <c r="A291" t="s">
        <v>660</v>
      </c>
    </row>
    <row r="292" spans="1:1" x14ac:dyDescent="0.25">
      <c r="A292" t="s">
        <v>641</v>
      </c>
    </row>
    <row r="293" spans="1:1" x14ac:dyDescent="0.25">
      <c r="A293" t="s">
        <v>636</v>
      </c>
    </row>
    <row r="294" spans="1:1" x14ac:dyDescent="0.25">
      <c r="A294" t="s">
        <v>661</v>
      </c>
    </row>
    <row r="295" spans="1:1" x14ac:dyDescent="0.25">
      <c r="A295" t="s">
        <v>662</v>
      </c>
    </row>
    <row r="296" spans="1:1" x14ac:dyDescent="0.25">
      <c r="A296" t="s">
        <v>644</v>
      </c>
    </row>
    <row r="297" spans="1:1" x14ac:dyDescent="0.25">
      <c r="A297" t="s">
        <v>522</v>
      </c>
    </row>
    <row r="298" spans="1:1" x14ac:dyDescent="0.25">
      <c r="A298" t="s">
        <v>238</v>
      </c>
    </row>
    <row r="299" spans="1:1" x14ac:dyDescent="0.25">
      <c r="A299" t="s">
        <v>663</v>
      </c>
    </row>
    <row r="300" spans="1:1" x14ac:dyDescent="0.25">
      <c r="A300" t="s">
        <v>664</v>
      </c>
    </row>
    <row r="301" spans="1:1" x14ac:dyDescent="0.25">
      <c r="A301" t="s">
        <v>636</v>
      </c>
    </row>
    <row r="302" spans="1:1" x14ac:dyDescent="0.25">
      <c r="A302" t="s">
        <v>665</v>
      </c>
    </row>
    <row r="303" spans="1:1" x14ac:dyDescent="0.25">
      <c r="A303" t="s">
        <v>666</v>
      </c>
    </row>
    <row r="304" spans="1:1" x14ac:dyDescent="0.25">
      <c r="A304" t="s">
        <v>667</v>
      </c>
    </row>
    <row r="305" spans="1:1" x14ac:dyDescent="0.25">
      <c r="A305" t="s">
        <v>522</v>
      </c>
    </row>
    <row r="306" spans="1:1" x14ac:dyDescent="0.25">
      <c r="A306" t="s">
        <v>238</v>
      </c>
    </row>
    <row r="307" spans="1:1" x14ac:dyDescent="0.25">
      <c r="A307" t="s">
        <v>668</v>
      </c>
    </row>
    <row r="308" spans="1:1" x14ac:dyDescent="0.25">
      <c r="A308" t="s">
        <v>669</v>
      </c>
    </row>
    <row r="309" spans="1:1" x14ac:dyDescent="0.25">
      <c r="A309" t="s">
        <v>636</v>
      </c>
    </row>
    <row r="310" spans="1:1" x14ac:dyDescent="0.25">
      <c r="A310" t="s">
        <v>608</v>
      </c>
    </row>
    <row r="311" spans="1:1" x14ac:dyDescent="0.25">
      <c r="A311" t="s">
        <v>670</v>
      </c>
    </row>
    <row r="312" spans="1:1" x14ac:dyDescent="0.25">
      <c r="A312" t="s">
        <v>639</v>
      </c>
    </row>
    <row r="313" spans="1:1" x14ac:dyDescent="0.25">
      <c r="A313" t="s">
        <v>522</v>
      </c>
    </row>
    <row r="314" spans="1:1" x14ac:dyDescent="0.25">
      <c r="A314" t="s">
        <v>238</v>
      </c>
    </row>
    <row r="315" spans="1:1" x14ac:dyDescent="0.25">
      <c r="A315" t="s">
        <v>671</v>
      </c>
    </row>
    <row r="316" spans="1:1" x14ac:dyDescent="0.25">
      <c r="A316" t="s">
        <v>646</v>
      </c>
    </row>
    <row r="317" spans="1:1" x14ac:dyDescent="0.25">
      <c r="A317" t="s">
        <v>636</v>
      </c>
    </row>
    <row r="318" spans="1:1" x14ac:dyDescent="0.25">
      <c r="A318" t="s">
        <v>672</v>
      </c>
    </row>
    <row r="319" spans="1:1" x14ac:dyDescent="0.25">
      <c r="A319" t="s">
        <v>673</v>
      </c>
    </row>
    <row r="320" spans="1:1" x14ac:dyDescent="0.25">
      <c r="A320" t="s">
        <v>612</v>
      </c>
    </row>
    <row r="321" spans="1:1" x14ac:dyDescent="0.25">
      <c r="A321" t="s">
        <v>522</v>
      </c>
    </row>
    <row r="322" spans="1:1" x14ac:dyDescent="0.25">
      <c r="A322" t="s">
        <v>238</v>
      </c>
    </row>
    <row r="323" spans="1:1" x14ac:dyDescent="0.25">
      <c r="A323" t="s">
        <v>674</v>
      </c>
    </row>
    <row r="324" spans="1:1" x14ac:dyDescent="0.25">
      <c r="A324" t="s">
        <v>565</v>
      </c>
    </row>
    <row r="325" spans="1:1" x14ac:dyDescent="0.25">
      <c r="A325" t="s">
        <v>675</v>
      </c>
    </row>
    <row r="326" spans="1:1" x14ac:dyDescent="0.25">
      <c r="A326" t="s">
        <v>576</v>
      </c>
    </row>
    <row r="327" spans="1:1" x14ac:dyDescent="0.25">
      <c r="A327" t="s">
        <v>676</v>
      </c>
    </row>
    <row r="328" spans="1:1" x14ac:dyDescent="0.25">
      <c r="A328" t="s">
        <v>568</v>
      </c>
    </row>
    <row r="329" spans="1:1" x14ac:dyDescent="0.25">
      <c r="A329" t="s">
        <v>522</v>
      </c>
    </row>
    <row r="330" spans="1:1" x14ac:dyDescent="0.25">
      <c r="A330" t="s">
        <v>238</v>
      </c>
    </row>
    <row r="331" spans="1:1" x14ac:dyDescent="0.25">
      <c r="A331" t="s">
        <v>677</v>
      </c>
    </row>
    <row r="332" spans="1:1" x14ac:dyDescent="0.25">
      <c r="A332" t="s">
        <v>678</v>
      </c>
    </row>
    <row r="333" spans="1:1" x14ac:dyDescent="0.25">
      <c r="A333" t="s">
        <v>675</v>
      </c>
    </row>
    <row r="334" spans="1:1" x14ac:dyDescent="0.25">
      <c r="A334" t="s">
        <v>679</v>
      </c>
    </row>
    <row r="335" spans="1:1" x14ac:dyDescent="0.25">
      <c r="A335" t="s">
        <v>676</v>
      </c>
    </row>
    <row r="336" spans="1:1" x14ac:dyDescent="0.25">
      <c r="A336" t="s">
        <v>549</v>
      </c>
    </row>
    <row r="337" spans="1:1" x14ac:dyDescent="0.25">
      <c r="A337" t="s">
        <v>522</v>
      </c>
    </row>
    <row r="338" spans="1:1" x14ac:dyDescent="0.25">
      <c r="A338" t="s">
        <v>238</v>
      </c>
    </row>
    <row r="339" spans="1:1" x14ac:dyDescent="0.25">
      <c r="A339" t="s">
        <v>680</v>
      </c>
    </row>
    <row r="340" spans="1:1" x14ac:dyDescent="0.25">
      <c r="A340" t="s">
        <v>681</v>
      </c>
    </row>
    <row r="341" spans="1:1" x14ac:dyDescent="0.25">
      <c r="A341" t="s">
        <v>675</v>
      </c>
    </row>
    <row r="342" spans="1:1" x14ac:dyDescent="0.25">
      <c r="A342" t="s">
        <v>642</v>
      </c>
    </row>
    <row r="343" spans="1:1" x14ac:dyDescent="0.25">
      <c r="A343" t="s">
        <v>682</v>
      </c>
    </row>
    <row r="344" spans="1:1" x14ac:dyDescent="0.25">
      <c r="A344" t="s">
        <v>549</v>
      </c>
    </row>
    <row r="345" spans="1:1" x14ac:dyDescent="0.25">
      <c r="A345" t="s">
        <v>522</v>
      </c>
    </row>
    <row r="346" spans="1:1" x14ac:dyDescent="0.25">
      <c r="A346" t="s">
        <v>238</v>
      </c>
    </row>
    <row r="347" spans="1:1" x14ac:dyDescent="0.25">
      <c r="A347" t="s">
        <v>683</v>
      </c>
    </row>
    <row r="348" spans="1:1" x14ac:dyDescent="0.25">
      <c r="A348" t="s">
        <v>684</v>
      </c>
    </row>
    <row r="349" spans="1:1" x14ac:dyDescent="0.25">
      <c r="A349" t="s">
        <v>675</v>
      </c>
    </row>
    <row r="350" spans="1:1" x14ac:dyDescent="0.25">
      <c r="A350" t="s">
        <v>587</v>
      </c>
    </row>
    <row r="351" spans="1:1" x14ac:dyDescent="0.25">
      <c r="A351" t="s">
        <v>685</v>
      </c>
    </row>
    <row r="352" spans="1:1" x14ac:dyDescent="0.25">
      <c r="A352" t="s">
        <v>639</v>
      </c>
    </row>
    <row r="353" spans="1:1" x14ac:dyDescent="0.25">
      <c r="A353" t="s">
        <v>522</v>
      </c>
    </row>
    <row r="354" spans="1:1" x14ac:dyDescent="0.25">
      <c r="A354" t="s">
        <v>238</v>
      </c>
    </row>
    <row r="355" spans="1:1" x14ac:dyDescent="0.25">
      <c r="A355" t="s">
        <v>686</v>
      </c>
    </row>
    <row r="356" spans="1:1" x14ac:dyDescent="0.25">
      <c r="A356" t="s">
        <v>687</v>
      </c>
    </row>
    <row r="357" spans="1:1" x14ac:dyDescent="0.25">
      <c r="A357" t="s">
        <v>675</v>
      </c>
    </row>
    <row r="358" spans="1:1" x14ac:dyDescent="0.25">
      <c r="A358" t="s">
        <v>547</v>
      </c>
    </row>
    <row r="359" spans="1:1" x14ac:dyDescent="0.25">
      <c r="A359" t="s">
        <v>688</v>
      </c>
    </row>
    <row r="360" spans="1:1" x14ac:dyDescent="0.25">
      <c r="A360" t="s">
        <v>689</v>
      </c>
    </row>
    <row r="361" spans="1:1" x14ac:dyDescent="0.25">
      <c r="A361" t="s">
        <v>522</v>
      </c>
    </row>
    <row r="362" spans="1:1" x14ac:dyDescent="0.25">
      <c r="A362" t="s">
        <v>238</v>
      </c>
    </row>
    <row r="363" spans="1:1" x14ac:dyDescent="0.25">
      <c r="A363" t="s">
        <v>690</v>
      </c>
    </row>
    <row r="364" spans="1:1" x14ac:dyDescent="0.25">
      <c r="A364" t="s">
        <v>565</v>
      </c>
    </row>
    <row r="365" spans="1:1" x14ac:dyDescent="0.25">
      <c r="A365" t="s">
        <v>675</v>
      </c>
    </row>
    <row r="366" spans="1:1" x14ac:dyDescent="0.25">
      <c r="A366" t="s">
        <v>637</v>
      </c>
    </row>
    <row r="367" spans="1:1" x14ac:dyDescent="0.25">
      <c r="A367" t="s">
        <v>691</v>
      </c>
    </row>
    <row r="368" spans="1:1" x14ac:dyDescent="0.25">
      <c r="A368" t="s">
        <v>568</v>
      </c>
    </row>
    <row r="369" spans="1:1" x14ac:dyDescent="0.25">
      <c r="A369" t="s">
        <v>522</v>
      </c>
    </row>
    <row r="370" spans="1:1" x14ac:dyDescent="0.25">
      <c r="A370" t="s">
        <v>238</v>
      </c>
    </row>
    <row r="371" spans="1:1" x14ac:dyDescent="0.25">
      <c r="A371" t="s">
        <v>692</v>
      </c>
    </row>
    <row r="372" spans="1:1" x14ac:dyDescent="0.25">
      <c r="A372" t="s">
        <v>693</v>
      </c>
    </row>
    <row r="373" spans="1:1" x14ac:dyDescent="0.25">
      <c r="A373" t="s">
        <v>675</v>
      </c>
    </row>
    <row r="374" spans="1:1" x14ac:dyDescent="0.25">
      <c r="A374" t="s">
        <v>694</v>
      </c>
    </row>
    <row r="375" spans="1:1" x14ac:dyDescent="0.25">
      <c r="A375" t="s">
        <v>695</v>
      </c>
    </row>
    <row r="376" spans="1:1" x14ac:dyDescent="0.25">
      <c r="A376" t="s">
        <v>558</v>
      </c>
    </row>
    <row r="377" spans="1:1" x14ac:dyDescent="0.25">
      <c r="A377" t="s">
        <v>522</v>
      </c>
    </row>
    <row r="378" spans="1:1" x14ac:dyDescent="0.25">
      <c r="A378" t="s">
        <v>238</v>
      </c>
    </row>
    <row r="379" spans="1:1" x14ac:dyDescent="0.25">
      <c r="A379" t="s">
        <v>696</v>
      </c>
    </row>
    <row r="380" spans="1:1" x14ac:dyDescent="0.25">
      <c r="A380" t="s">
        <v>697</v>
      </c>
    </row>
    <row r="381" spans="1:1" x14ac:dyDescent="0.25">
      <c r="A381" t="s">
        <v>675</v>
      </c>
    </row>
    <row r="382" spans="1:1" x14ac:dyDescent="0.25">
      <c r="A382" t="s">
        <v>651</v>
      </c>
    </row>
    <row r="383" spans="1:1" x14ac:dyDescent="0.25">
      <c r="A383" t="s">
        <v>698</v>
      </c>
    </row>
    <row r="384" spans="1:1" x14ac:dyDescent="0.25">
      <c r="A384" t="s">
        <v>699</v>
      </c>
    </row>
    <row r="385" spans="1:1" x14ac:dyDescent="0.25">
      <c r="A385" t="s">
        <v>522</v>
      </c>
    </row>
    <row r="386" spans="1:1" x14ac:dyDescent="0.25">
      <c r="A386" t="s">
        <v>238</v>
      </c>
    </row>
    <row r="387" spans="1:1" x14ac:dyDescent="0.25">
      <c r="A387" t="s">
        <v>700</v>
      </c>
    </row>
    <row r="388" spans="1:1" x14ac:dyDescent="0.25">
      <c r="A388" t="s">
        <v>701</v>
      </c>
    </row>
    <row r="389" spans="1:1" x14ac:dyDescent="0.25">
      <c r="A389" t="s">
        <v>675</v>
      </c>
    </row>
    <row r="390" spans="1:1" x14ac:dyDescent="0.25">
      <c r="A390" t="s">
        <v>587</v>
      </c>
    </row>
    <row r="391" spans="1:1" x14ac:dyDescent="0.25">
      <c r="A391" t="s">
        <v>695</v>
      </c>
    </row>
    <row r="392" spans="1:1" x14ac:dyDescent="0.25">
      <c r="A392" t="s">
        <v>558</v>
      </c>
    </row>
    <row r="393" spans="1:1" x14ac:dyDescent="0.25">
      <c r="A393" t="s">
        <v>522</v>
      </c>
    </row>
    <row r="394" spans="1:1" x14ac:dyDescent="0.25">
      <c r="A394" t="s">
        <v>238</v>
      </c>
    </row>
    <row r="395" spans="1:1" x14ac:dyDescent="0.25">
      <c r="A395" t="s">
        <v>702</v>
      </c>
    </row>
    <row r="396" spans="1:1" x14ac:dyDescent="0.25">
      <c r="A396" t="s">
        <v>703</v>
      </c>
    </row>
    <row r="397" spans="1:1" x14ac:dyDescent="0.25">
      <c r="A397" t="s">
        <v>675</v>
      </c>
    </row>
    <row r="398" spans="1:1" x14ac:dyDescent="0.25">
      <c r="A398" t="s">
        <v>704</v>
      </c>
    </row>
    <row r="399" spans="1:1" x14ac:dyDescent="0.25">
      <c r="A399" t="s">
        <v>705</v>
      </c>
    </row>
    <row r="400" spans="1:1" x14ac:dyDescent="0.25">
      <c r="A400" t="s">
        <v>689</v>
      </c>
    </row>
    <row r="401" spans="1:1" x14ac:dyDescent="0.25">
      <c r="A401" t="s">
        <v>522</v>
      </c>
    </row>
    <row r="402" spans="1:1" x14ac:dyDescent="0.25">
      <c r="A402" t="s">
        <v>238</v>
      </c>
    </row>
    <row r="403" spans="1:1" x14ac:dyDescent="0.25">
      <c r="A403" t="s">
        <v>706</v>
      </c>
    </row>
    <row r="404" spans="1:1" x14ac:dyDescent="0.25">
      <c r="A404" t="s">
        <v>707</v>
      </c>
    </row>
    <row r="405" spans="1:1" x14ac:dyDescent="0.25">
      <c r="A405" t="s">
        <v>708</v>
      </c>
    </row>
    <row r="406" spans="1:1" x14ac:dyDescent="0.25">
      <c r="A406" t="s">
        <v>709</v>
      </c>
    </row>
    <row r="407" spans="1:1" x14ac:dyDescent="0.25">
      <c r="A407" t="s">
        <v>710</v>
      </c>
    </row>
    <row r="408" spans="1:1" x14ac:dyDescent="0.25">
      <c r="A408" t="s">
        <v>639</v>
      </c>
    </row>
    <row r="409" spans="1:1" x14ac:dyDescent="0.25">
      <c r="A409" t="s">
        <v>522</v>
      </c>
    </row>
    <row r="410" spans="1:1" x14ac:dyDescent="0.25">
      <c r="A410" t="s">
        <v>238</v>
      </c>
    </row>
    <row r="411" spans="1:1" x14ac:dyDescent="0.25">
      <c r="A411" t="s">
        <v>711</v>
      </c>
    </row>
    <row r="412" spans="1:1" x14ac:dyDescent="0.25">
      <c r="A412" t="s">
        <v>712</v>
      </c>
    </row>
    <row r="413" spans="1:1" x14ac:dyDescent="0.25">
      <c r="A413" t="s">
        <v>708</v>
      </c>
    </row>
    <row r="414" spans="1:1" x14ac:dyDescent="0.25">
      <c r="A414" t="s">
        <v>713</v>
      </c>
    </row>
    <row r="415" spans="1:1" x14ac:dyDescent="0.25">
      <c r="A415" t="s">
        <v>714</v>
      </c>
    </row>
    <row r="416" spans="1:1" x14ac:dyDescent="0.25">
      <c r="A416" t="s">
        <v>715</v>
      </c>
    </row>
    <row r="417" spans="1:1" x14ac:dyDescent="0.25">
      <c r="A417" t="s">
        <v>522</v>
      </c>
    </row>
    <row r="418" spans="1:1" x14ac:dyDescent="0.25">
      <c r="A418" t="s">
        <v>238</v>
      </c>
    </row>
    <row r="419" spans="1:1" x14ac:dyDescent="0.25">
      <c r="A419" t="s">
        <v>716</v>
      </c>
    </row>
    <row r="420" spans="1:1" x14ac:dyDescent="0.25">
      <c r="A420" t="s">
        <v>717</v>
      </c>
    </row>
    <row r="421" spans="1:1" x14ac:dyDescent="0.25">
      <c r="A421" t="s">
        <v>708</v>
      </c>
    </row>
    <row r="422" spans="1:1" x14ac:dyDescent="0.25">
      <c r="A422" t="s">
        <v>637</v>
      </c>
    </row>
    <row r="423" spans="1:1" x14ac:dyDescent="0.25">
      <c r="A423" t="s">
        <v>718</v>
      </c>
    </row>
    <row r="424" spans="1:1" x14ac:dyDescent="0.25">
      <c r="A424" t="s">
        <v>639</v>
      </c>
    </row>
    <row r="425" spans="1:1" x14ac:dyDescent="0.25">
      <c r="A425" t="s">
        <v>522</v>
      </c>
    </row>
    <row r="426" spans="1:1" x14ac:dyDescent="0.25">
      <c r="A426" t="s">
        <v>238</v>
      </c>
    </row>
    <row r="427" spans="1:1" x14ac:dyDescent="0.25">
      <c r="A427" t="s">
        <v>719</v>
      </c>
    </row>
    <row r="428" spans="1:1" x14ac:dyDescent="0.25">
      <c r="A428" t="s">
        <v>720</v>
      </c>
    </row>
    <row r="429" spans="1:1" x14ac:dyDescent="0.25">
      <c r="A429" t="s">
        <v>708</v>
      </c>
    </row>
    <row r="430" spans="1:1" x14ac:dyDescent="0.25">
      <c r="A430" t="s">
        <v>721</v>
      </c>
    </row>
    <row r="431" spans="1:1" x14ac:dyDescent="0.25">
      <c r="A431" t="s">
        <v>722</v>
      </c>
    </row>
    <row r="432" spans="1:1" x14ac:dyDescent="0.25">
      <c r="A432" t="s">
        <v>723</v>
      </c>
    </row>
    <row r="433" spans="1:1" x14ac:dyDescent="0.25">
      <c r="A433" t="s">
        <v>522</v>
      </c>
    </row>
    <row r="434" spans="1:1" x14ac:dyDescent="0.25">
      <c r="A434" t="s">
        <v>238</v>
      </c>
    </row>
    <row r="435" spans="1:1" x14ac:dyDescent="0.25">
      <c r="A435" t="s">
        <v>724</v>
      </c>
    </row>
    <row r="436" spans="1:1" x14ac:dyDescent="0.25">
      <c r="A436" t="s">
        <v>725</v>
      </c>
    </row>
    <row r="437" spans="1:1" x14ac:dyDescent="0.25">
      <c r="A437" t="s">
        <v>708</v>
      </c>
    </row>
    <row r="438" spans="1:1" x14ac:dyDescent="0.25">
      <c r="A438" t="s">
        <v>726</v>
      </c>
    </row>
    <row r="439" spans="1:1" x14ac:dyDescent="0.25">
      <c r="A439" t="s">
        <v>727</v>
      </c>
    </row>
    <row r="440" spans="1:1" x14ac:dyDescent="0.25">
      <c r="A440" t="s">
        <v>594</v>
      </c>
    </row>
    <row r="441" spans="1:1" x14ac:dyDescent="0.25">
      <c r="A441" t="s">
        <v>522</v>
      </c>
    </row>
    <row r="442" spans="1:1" x14ac:dyDescent="0.25">
      <c r="A442" t="s">
        <v>238</v>
      </c>
    </row>
    <row r="443" spans="1:1" x14ac:dyDescent="0.25">
      <c r="A443" t="s">
        <v>728</v>
      </c>
    </row>
    <row r="444" spans="1:1" x14ac:dyDescent="0.25">
      <c r="A444" t="s">
        <v>729</v>
      </c>
    </row>
    <row r="445" spans="1:1" x14ac:dyDescent="0.25">
      <c r="A445" t="s">
        <v>708</v>
      </c>
    </row>
    <row r="446" spans="1:1" x14ac:dyDescent="0.25">
      <c r="A446" t="s">
        <v>730</v>
      </c>
    </row>
    <row r="447" spans="1:1" x14ac:dyDescent="0.25">
      <c r="A447" t="s">
        <v>731</v>
      </c>
    </row>
    <row r="448" spans="1:1" x14ac:dyDescent="0.25">
      <c r="A448" t="s">
        <v>639</v>
      </c>
    </row>
    <row r="449" spans="1:1" x14ac:dyDescent="0.25">
      <c r="A449" t="s">
        <v>522</v>
      </c>
    </row>
    <row r="450" spans="1:1" x14ac:dyDescent="0.25">
      <c r="A450" t="s">
        <v>238</v>
      </c>
    </row>
    <row r="451" spans="1:1" x14ac:dyDescent="0.25">
      <c r="A451" t="s">
        <v>732</v>
      </c>
    </row>
    <row r="452" spans="1:1" x14ac:dyDescent="0.25">
      <c r="A452" t="s">
        <v>733</v>
      </c>
    </row>
    <row r="453" spans="1:1" x14ac:dyDescent="0.25">
      <c r="A453" t="s">
        <v>708</v>
      </c>
    </row>
    <row r="454" spans="1:1" x14ac:dyDescent="0.25">
      <c r="A454" t="s">
        <v>734</v>
      </c>
    </row>
    <row r="455" spans="1:1" x14ac:dyDescent="0.25">
      <c r="A455" t="s">
        <v>735</v>
      </c>
    </row>
    <row r="456" spans="1:1" x14ac:dyDescent="0.25">
      <c r="A456" t="s">
        <v>639</v>
      </c>
    </row>
    <row r="457" spans="1:1" x14ac:dyDescent="0.25">
      <c r="A457" t="s">
        <v>522</v>
      </c>
    </row>
    <row r="458" spans="1:1" x14ac:dyDescent="0.25">
      <c r="A458" t="s">
        <v>238</v>
      </c>
    </row>
    <row r="459" spans="1:1" x14ac:dyDescent="0.25">
      <c r="A459" t="s">
        <v>736</v>
      </c>
    </row>
    <row r="460" spans="1:1" x14ac:dyDescent="0.25">
      <c r="A460" t="s">
        <v>737</v>
      </c>
    </row>
    <row r="461" spans="1:1" x14ac:dyDescent="0.25">
      <c r="A461" t="s">
        <v>708</v>
      </c>
    </row>
    <row r="462" spans="1:1" x14ac:dyDescent="0.25">
      <c r="A462" t="s">
        <v>738</v>
      </c>
    </row>
    <row r="463" spans="1:1" x14ac:dyDescent="0.25">
      <c r="A463" t="s">
        <v>739</v>
      </c>
    </row>
    <row r="464" spans="1:1" x14ac:dyDescent="0.25">
      <c r="A464" t="s">
        <v>639</v>
      </c>
    </row>
    <row r="465" spans="1:1" x14ac:dyDescent="0.25">
      <c r="A465" t="s">
        <v>522</v>
      </c>
    </row>
    <row r="466" spans="1:1" x14ac:dyDescent="0.25">
      <c r="A466" t="s">
        <v>238</v>
      </c>
    </row>
    <row r="467" spans="1:1" x14ac:dyDescent="0.25">
      <c r="A467" t="s">
        <v>740</v>
      </c>
    </row>
    <row r="468" spans="1:1" x14ac:dyDescent="0.25">
      <c r="A468" t="s">
        <v>729</v>
      </c>
    </row>
    <row r="469" spans="1:1" x14ac:dyDescent="0.25">
      <c r="A469" t="s">
        <v>708</v>
      </c>
    </row>
    <row r="470" spans="1:1" x14ac:dyDescent="0.25">
      <c r="A470" t="s">
        <v>651</v>
      </c>
    </row>
    <row r="471" spans="1:1" x14ac:dyDescent="0.25">
      <c r="A471" t="s">
        <v>741</v>
      </c>
    </row>
    <row r="472" spans="1:1" x14ac:dyDescent="0.25">
      <c r="A472" t="s">
        <v>639</v>
      </c>
    </row>
    <row r="473" spans="1:1" x14ac:dyDescent="0.25">
      <c r="A473" t="s">
        <v>522</v>
      </c>
    </row>
    <row r="474" spans="1:1" x14ac:dyDescent="0.25">
      <c r="A474" t="s">
        <v>238</v>
      </c>
    </row>
    <row r="475" spans="1:1" x14ac:dyDescent="0.25">
      <c r="A475" t="s">
        <v>742</v>
      </c>
    </row>
    <row r="476" spans="1:1" x14ac:dyDescent="0.25">
      <c r="A476" t="s">
        <v>743</v>
      </c>
    </row>
    <row r="477" spans="1:1" x14ac:dyDescent="0.25">
      <c r="A477" t="s">
        <v>708</v>
      </c>
    </row>
    <row r="478" spans="1:1" x14ac:dyDescent="0.25">
      <c r="A478" t="s">
        <v>744</v>
      </c>
    </row>
    <row r="479" spans="1:1" x14ac:dyDescent="0.25">
      <c r="A479" t="s">
        <v>745</v>
      </c>
    </row>
    <row r="480" spans="1:1" x14ac:dyDescent="0.25">
      <c r="A480" t="s">
        <v>573</v>
      </c>
    </row>
    <row r="481" spans="1:1" x14ac:dyDescent="0.25">
      <c r="A481" t="s">
        <v>522</v>
      </c>
    </row>
    <row r="482" spans="1:1" x14ac:dyDescent="0.25">
      <c r="A482" t="s">
        <v>238</v>
      </c>
    </row>
    <row r="483" spans="1:1" x14ac:dyDescent="0.25">
      <c r="A483" t="s">
        <v>746</v>
      </c>
    </row>
    <row r="484" spans="1:1" x14ac:dyDescent="0.25">
      <c r="A484" t="s">
        <v>540</v>
      </c>
    </row>
    <row r="485" spans="1:1" x14ac:dyDescent="0.25">
      <c r="A485" t="s">
        <v>747</v>
      </c>
    </row>
    <row r="486" spans="1:1" x14ac:dyDescent="0.25">
      <c r="A486" t="s">
        <v>748</v>
      </c>
    </row>
    <row r="487" spans="1:1" x14ac:dyDescent="0.25">
      <c r="A487" t="s">
        <v>749</v>
      </c>
    </row>
    <row r="488" spans="1:1" x14ac:dyDescent="0.25">
      <c r="A488" t="s">
        <v>594</v>
      </c>
    </row>
    <row r="489" spans="1:1" x14ac:dyDescent="0.25">
      <c r="A489" t="s">
        <v>522</v>
      </c>
    </row>
    <row r="490" spans="1:1" x14ac:dyDescent="0.25">
      <c r="A490" t="s">
        <v>238</v>
      </c>
    </row>
    <row r="491" spans="1:1" x14ac:dyDescent="0.25">
      <c r="A491" t="s">
        <v>750</v>
      </c>
    </row>
    <row r="492" spans="1:1" x14ac:dyDescent="0.25">
      <c r="A492" t="s">
        <v>751</v>
      </c>
    </row>
    <row r="493" spans="1:1" x14ac:dyDescent="0.25">
      <c r="A493" t="s">
        <v>747</v>
      </c>
    </row>
    <row r="494" spans="1:1" x14ac:dyDescent="0.25">
      <c r="A494" t="s">
        <v>547</v>
      </c>
    </row>
    <row r="495" spans="1:1" x14ac:dyDescent="0.25">
      <c r="A495" t="s">
        <v>752</v>
      </c>
    </row>
    <row r="496" spans="1:1" x14ac:dyDescent="0.25">
      <c r="A496" t="s">
        <v>715</v>
      </c>
    </row>
    <row r="497" spans="1:1" x14ac:dyDescent="0.25">
      <c r="A497" t="s">
        <v>522</v>
      </c>
    </row>
    <row r="498" spans="1:1" x14ac:dyDescent="0.25">
      <c r="A498" t="s">
        <v>238</v>
      </c>
    </row>
    <row r="499" spans="1:1" x14ac:dyDescent="0.25">
      <c r="A499" t="s">
        <v>753</v>
      </c>
    </row>
    <row r="500" spans="1:1" x14ac:dyDescent="0.25">
      <c r="A500" t="s">
        <v>754</v>
      </c>
    </row>
    <row r="501" spans="1:1" x14ac:dyDescent="0.25">
      <c r="A501" t="s">
        <v>747</v>
      </c>
    </row>
    <row r="502" spans="1:1" x14ac:dyDescent="0.25">
      <c r="A502" t="s">
        <v>755</v>
      </c>
    </row>
    <row r="503" spans="1:1" x14ac:dyDescent="0.25">
      <c r="A503" t="s">
        <v>756</v>
      </c>
    </row>
    <row r="504" spans="1:1" x14ac:dyDescent="0.25">
      <c r="A504" t="s">
        <v>757</v>
      </c>
    </row>
    <row r="505" spans="1:1" x14ac:dyDescent="0.25">
      <c r="A505" t="s">
        <v>522</v>
      </c>
    </row>
    <row r="506" spans="1:1" x14ac:dyDescent="0.25">
      <c r="A506" t="s">
        <v>238</v>
      </c>
    </row>
    <row r="507" spans="1:1" x14ac:dyDescent="0.25">
      <c r="A507" t="s">
        <v>758</v>
      </c>
    </row>
    <row r="508" spans="1:1" x14ac:dyDescent="0.25">
      <c r="A508" t="s">
        <v>759</v>
      </c>
    </row>
    <row r="509" spans="1:1" x14ac:dyDescent="0.25">
      <c r="A509" t="s">
        <v>747</v>
      </c>
    </row>
    <row r="510" spans="1:1" x14ac:dyDescent="0.25">
      <c r="A510" t="s">
        <v>760</v>
      </c>
    </row>
    <row r="511" spans="1:1" x14ac:dyDescent="0.25">
      <c r="A511" t="s">
        <v>761</v>
      </c>
    </row>
    <row r="512" spans="1:1" x14ac:dyDescent="0.25">
      <c r="A512" t="s">
        <v>762</v>
      </c>
    </row>
    <row r="513" spans="1:1" x14ac:dyDescent="0.25">
      <c r="A513" t="s">
        <v>522</v>
      </c>
    </row>
    <row r="514" spans="1:1" x14ac:dyDescent="0.25">
      <c r="A514" t="s">
        <v>238</v>
      </c>
    </row>
    <row r="515" spans="1:1" x14ac:dyDescent="0.25">
      <c r="A515" t="s">
        <v>763</v>
      </c>
    </row>
    <row r="516" spans="1:1" x14ac:dyDescent="0.25">
      <c r="A516" t="s">
        <v>764</v>
      </c>
    </row>
    <row r="517" spans="1:1" x14ac:dyDescent="0.25">
      <c r="A517" t="s">
        <v>747</v>
      </c>
    </row>
    <row r="518" spans="1:1" x14ac:dyDescent="0.25">
      <c r="A518" t="s">
        <v>765</v>
      </c>
    </row>
    <row r="519" spans="1:1" x14ac:dyDescent="0.25">
      <c r="A519" t="s">
        <v>766</v>
      </c>
    </row>
    <row r="520" spans="1:1" x14ac:dyDescent="0.25">
      <c r="A520" t="s">
        <v>767</v>
      </c>
    </row>
    <row r="521" spans="1:1" x14ac:dyDescent="0.25">
      <c r="A521" t="s">
        <v>522</v>
      </c>
    </row>
    <row r="522" spans="1:1" x14ac:dyDescent="0.25">
      <c r="A522" t="s">
        <v>238</v>
      </c>
    </row>
    <row r="523" spans="1:1" x14ac:dyDescent="0.25">
      <c r="A523" t="s">
        <v>768</v>
      </c>
    </row>
    <row r="524" spans="1:1" x14ac:dyDescent="0.25">
      <c r="A524" t="s">
        <v>604</v>
      </c>
    </row>
    <row r="525" spans="1:1" x14ac:dyDescent="0.25">
      <c r="A525" t="s">
        <v>747</v>
      </c>
    </row>
    <row r="526" spans="1:1" x14ac:dyDescent="0.25">
      <c r="A526" t="s">
        <v>608</v>
      </c>
    </row>
    <row r="527" spans="1:1" x14ac:dyDescent="0.25">
      <c r="A527" t="s">
        <v>769</v>
      </c>
    </row>
    <row r="528" spans="1:1" x14ac:dyDescent="0.25">
      <c r="A528" t="s">
        <v>568</v>
      </c>
    </row>
    <row r="529" spans="1:1" x14ac:dyDescent="0.25">
      <c r="A529" t="s">
        <v>522</v>
      </c>
    </row>
    <row r="530" spans="1:1" x14ac:dyDescent="0.25">
      <c r="A530" t="s">
        <v>238</v>
      </c>
    </row>
    <row r="531" spans="1:1" x14ac:dyDescent="0.25">
      <c r="A531" t="s">
        <v>770</v>
      </c>
    </row>
    <row r="532" spans="1:1" x14ac:dyDescent="0.25">
      <c r="A532" t="s">
        <v>771</v>
      </c>
    </row>
    <row r="533" spans="1:1" x14ac:dyDescent="0.25">
      <c r="A533" t="s">
        <v>747</v>
      </c>
    </row>
    <row r="534" spans="1:1" x14ac:dyDescent="0.25">
      <c r="A534" t="s">
        <v>772</v>
      </c>
    </row>
    <row r="535" spans="1:1" x14ac:dyDescent="0.25">
      <c r="A535" t="s">
        <v>773</v>
      </c>
    </row>
    <row r="536" spans="1:1" x14ac:dyDescent="0.25">
      <c r="A536" t="s">
        <v>639</v>
      </c>
    </row>
    <row r="537" spans="1:1" x14ac:dyDescent="0.25">
      <c r="A537" t="s">
        <v>522</v>
      </c>
    </row>
    <row r="538" spans="1:1" x14ac:dyDescent="0.25">
      <c r="A538" t="s">
        <v>238</v>
      </c>
    </row>
    <row r="539" spans="1:1" x14ac:dyDescent="0.25">
      <c r="A539" t="s">
        <v>774</v>
      </c>
    </row>
    <row r="540" spans="1:1" x14ac:dyDescent="0.25">
      <c r="A540" t="s">
        <v>754</v>
      </c>
    </row>
    <row r="541" spans="1:1" x14ac:dyDescent="0.25">
      <c r="A541" t="s">
        <v>747</v>
      </c>
    </row>
    <row r="542" spans="1:1" x14ac:dyDescent="0.25">
      <c r="A542" t="s">
        <v>587</v>
      </c>
    </row>
    <row r="543" spans="1:1" x14ac:dyDescent="0.25">
      <c r="A543" t="s">
        <v>775</v>
      </c>
    </row>
    <row r="544" spans="1:1" x14ac:dyDescent="0.25">
      <c r="A544" t="s">
        <v>757</v>
      </c>
    </row>
    <row r="545" spans="1:1" x14ac:dyDescent="0.25">
      <c r="A545" t="s">
        <v>522</v>
      </c>
    </row>
    <row r="546" spans="1:1" x14ac:dyDescent="0.25">
      <c r="A546" t="s">
        <v>238</v>
      </c>
    </row>
    <row r="547" spans="1:1" x14ac:dyDescent="0.25">
      <c r="A547" t="s">
        <v>776</v>
      </c>
    </row>
    <row r="548" spans="1:1" x14ac:dyDescent="0.25">
      <c r="A548" t="s">
        <v>777</v>
      </c>
    </row>
    <row r="549" spans="1:1" x14ac:dyDescent="0.25">
      <c r="A549" t="s">
        <v>747</v>
      </c>
    </row>
    <row r="550" spans="1:1" x14ac:dyDescent="0.25">
      <c r="A550" t="s">
        <v>571</v>
      </c>
    </row>
    <row r="551" spans="1:1" x14ac:dyDescent="0.25">
      <c r="A551" t="s">
        <v>778</v>
      </c>
    </row>
    <row r="552" spans="1:1" x14ac:dyDescent="0.25">
      <c r="A552" t="s">
        <v>779</v>
      </c>
    </row>
    <row r="553" spans="1:1" x14ac:dyDescent="0.25">
      <c r="A553" t="s">
        <v>522</v>
      </c>
    </row>
    <row r="554" spans="1:1" x14ac:dyDescent="0.25">
      <c r="A554" t="s">
        <v>238</v>
      </c>
    </row>
    <row r="555" spans="1:1" x14ac:dyDescent="0.25">
      <c r="A555" t="s">
        <v>780</v>
      </c>
    </row>
    <row r="556" spans="1:1" x14ac:dyDescent="0.25">
      <c r="A556" t="s">
        <v>781</v>
      </c>
    </row>
    <row r="557" spans="1:1" x14ac:dyDescent="0.25">
      <c r="A557" t="s">
        <v>747</v>
      </c>
    </row>
    <row r="558" spans="1:1" x14ac:dyDescent="0.25">
      <c r="A558" t="s">
        <v>622</v>
      </c>
    </row>
    <row r="559" spans="1:1" x14ac:dyDescent="0.25">
      <c r="A559" t="s">
        <v>782</v>
      </c>
    </row>
    <row r="560" spans="1:1" x14ac:dyDescent="0.25">
      <c r="A560" t="s">
        <v>568</v>
      </c>
    </row>
    <row r="561" spans="1:1" x14ac:dyDescent="0.25">
      <c r="A561" t="s">
        <v>522</v>
      </c>
    </row>
    <row r="562" spans="1:1" x14ac:dyDescent="0.25">
      <c r="A562" t="s">
        <v>238</v>
      </c>
    </row>
    <row r="563" spans="1:1" x14ac:dyDescent="0.25">
      <c r="A563" t="s">
        <v>783</v>
      </c>
    </row>
    <row r="564" spans="1:1" x14ac:dyDescent="0.25">
      <c r="A564" t="s">
        <v>784</v>
      </c>
    </row>
    <row r="565" spans="1:1" x14ac:dyDescent="0.25">
      <c r="A565" t="s">
        <v>785</v>
      </c>
    </row>
    <row r="566" spans="1:1" x14ac:dyDescent="0.25">
      <c r="A566" t="s">
        <v>597</v>
      </c>
    </row>
    <row r="567" spans="1:1" x14ac:dyDescent="0.25">
      <c r="A567" t="s">
        <v>786</v>
      </c>
    </row>
    <row r="568" spans="1:1" x14ac:dyDescent="0.25">
      <c r="A568" t="s">
        <v>787</v>
      </c>
    </row>
    <row r="569" spans="1:1" x14ac:dyDescent="0.25">
      <c r="A569" t="s">
        <v>522</v>
      </c>
    </row>
    <row r="570" spans="1:1" x14ac:dyDescent="0.25">
      <c r="A570" t="s">
        <v>238</v>
      </c>
    </row>
    <row r="571" spans="1:1" x14ac:dyDescent="0.25">
      <c r="A571" t="s">
        <v>788</v>
      </c>
    </row>
    <row r="572" spans="1:1" x14ac:dyDescent="0.25">
      <c r="A572" t="s">
        <v>720</v>
      </c>
    </row>
    <row r="573" spans="1:1" x14ac:dyDescent="0.25">
      <c r="A573" t="s">
        <v>785</v>
      </c>
    </row>
    <row r="574" spans="1:1" x14ac:dyDescent="0.25">
      <c r="A574" t="s">
        <v>789</v>
      </c>
    </row>
    <row r="575" spans="1:1" x14ac:dyDescent="0.25">
      <c r="A575" t="s">
        <v>790</v>
      </c>
    </row>
    <row r="576" spans="1:1" x14ac:dyDescent="0.25">
      <c r="A576" t="s">
        <v>791</v>
      </c>
    </row>
    <row r="577" spans="1:1" x14ac:dyDescent="0.25">
      <c r="A577" t="s">
        <v>522</v>
      </c>
    </row>
    <row r="578" spans="1:1" x14ac:dyDescent="0.25">
      <c r="A578" t="s">
        <v>238</v>
      </c>
    </row>
    <row r="579" spans="1:1" x14ac:dyDescent="0.25">
      <c r="A579" t="s">
        <v>792</v>
      </c>
    </row>
    <row r="580" spans="1:1" x14ac:dyDescent="0.25">
      <c r="A580" t="s">
        <v>720</v>
      </c>
    </row>
    <row r="581" spans="1:1" x14ac:dyDescent="0.25">
      <c r="A581" t="s">
        <v>785</v>
      </c>
    </row>
    <row r="582" spans="1:1" x14ac:dyDescent="0.25">
      <c r="A582" t="s">
        <v>793</v>
      </c>
    </row>
    <row r="583" spans="1:1" x14ac:dyDescent="0.25">
      <c r="A583" t="s">
        <v>794</v>
      </c>
    </row>
    <row r="584" spans="1:1" x14ac:dyDescent="0.25">
      <c r="A584" t="s">
        <v>723</v>
      </c>
    </row>
    <row r="585" spans="1:1" x14ac:dyDescent="0.25">
      <c r="A585" t="s">
        <v>522</v>
      </c>
    </row>
    <row r="586" spans="1:1" x14ac:dyDescent="0.25">
      <c r="A586" t="s">
        <v>238</v>
      </c>
    </row>
    <row r="587" spans="1:1" x14ac:dyDescent="0.25">
      <c r="A587" t="s">
        <v>795</v>
      </c>
    </row>
    <row r="588" spans="1:1" x14ac:dyDescent="0.25">
      <c r="A588" t="s">
        <v>796</v>
      </c>
    </row>
    <row r="589" spans="1:1" x14ac:dyDescent="0.25">
      <c r="A589" t="s">
        <v>785</v>
      </c>
    </row>
    <row r="590" spans="1:1" x14ac:dyDescent="0.25">
      <c r="A590" t="s">
        <v>797</v>
      </c>
    </row>
    <row r="591" spans="1:1" x14ac:dyDescent="0.25">
      <c r="A591" t="s">
        <v>798</v>
      </c>
    </row>
    <row r="592" spans="1:1" x14ac:dyDescent="0.25">
      <c r="A592" t="s">
        <v>639</v>
      </c>
    </row>
    <row r="593" spans="1:1" x14ac:dyDescent="0.25">
      <c r="A593" t="s">
        <v>522</v>
      </c>
    </row>
    <row r="594" spans="1:1" x14ac:dyDescent="0.25">
      <c r="A594" t="s">
        <v>238</v>
      </c>
    </row>
    <row r="595" spans="1:1" x14ac:dyDescent="0.25">
      <c r="A595" t="s">
        <v>799</v>
      </c>
    </row>
    <row r="596" spans="1:1" x14ac:dyDescent="0.25">
      <c r="A596" t="s">
        <v>585</v>
      </c>
    </row>
    <row r="597" spans="1:1" x14ac:dyDescent="0.25">
      <c r="A597" t="s">
        <v>785</v>
      </c>
    </row>
    <row r="598" spans="1:1" x14ac:dyDescent="0.25">
      <c r="A598" t="s">
        <v>800</v>
      </c>
    </row>
    <row r="599" spans="1:1" x14ac:dyDescent="0.25">
      <c r="A599" t="s">
        <v>801</v>
      </c>
    </row>
    <row r="600" spans="1:1" x14ac:dyDescent="0.25">
      <c r="A600" t="s">
        <v>573</v>
      </c>
    </row>
    <row r="601" spans="1:1" x14ac:dyDescent="0.25">
      <c r="A601" t="s">
        <v>522</v>
      </c>
    </row>
    <row r="602" spans="1:1" x14ac:dyDescent="0.25">
      <c r="A602" t="s">
        <v>238</v>
      </c>
    </row>
    <row r="603" spans="1:1" x14ac:dyDescent="0.25">
      <c r="A603" t="s">
        <v>802</v>
      </c>
    </row>
    <row r="604" spans="1:1" x14ac:dyDescent="0.25">
      <c r="A604" t="s">
        <v>796</v>
      </c>
    </row>
    <row r="605" spans="1:1" x14ac:dyDescent="0.25">
      <c r="A605" t="s">
        <v>785</v>
      </c>
    </row>
    <row r="606" spans="1:1" x14ac:dyDescent="0.25">
      <c r="A606" t="s">
        <v>803</v>
      </c>
    </row>
    <row r="607" spans="1:1" x14ac:dyDescent="0.25">
      <c r="A607" t="s">
        <v>804</v>
      </c>
    </row>
    <row r="608" spans="1:1" x14ac:dyDescent="0.25">
      <c r="A608" t="s">
        <v>639</v>
      </c>
    </row>
    <row r="609" spans="1:1" x14ac:dyDescent="0.25">
      <c r="A609" t="s">
        <v>522</v>
      </c>
    </row>
    <row r="610" spans="1:1" x14ac:dyDescent="0.25">
      <c r="A610" t="s">
        <v>238</v>
      </c>
    </row>
    <row r="611" spans="1:1" x14ac:dyDescent="0.25">
      <c r="A611" t="s">
        <v>805</v>
      </c>
    </row>
    <row r="612" spans="1:1" x14ac:dyDescent="0.25">
      <c r="A612" t="s">
        <v>720</v>
      </c>
    </row>
    <row r="613" spans="1:1" x14ac:dyDescent="0.25">
      <c r="A613" t="s">
        <v>785</v>
      </c>
    </row>
    <row r="614" spans="1:1" x14ac:dyDescent="0.25">
      <c r="A614" t="s">
        <v>806</v>
      </c>
    </row>
    <row r="615" spans="1:1" x14ac:dyDescent="0.25">
      <c r="A615" t="s">
        <v>807</v>
      </c>
    </row>
    <row r="616" spans="1:1" x14ac:dyDescent="0.25">
      <c r="A616" t="s">
        <v>639</v>
      </c>
    </row>
    <row r="617" spans="1:1" x14ac:dyDescent="0.25">
      <c r="A617" t="s">
        <v>522</v>
      </c>
    </row>
    <row r="618" spans="1:1" x14ac:dyDescent="0.25">
      <c r="A618" t="s">
        <v>238</v>
      </c>
    </row>
    <row r="619" spans="1:1" x14ac:dyDescent="0.25">
      <c r="A619" t="s">
        <v>808</v>
      </c>
    </row>
    <row r="620" spans="1:1" x14ac:dyDescent="0.25">
      <c r="A620" t="s">
        <v>809</v>
      </c>
    </row>
    <row r="621" spans="1:1" x14ac:dyDescent="0.25">
      <c r="A621" t="s">
        <v>785</v>
      </c>
    </row>
    <row r="622" spans="1:1" x14ac:dyDescent="0.25">
      <c r="A622" t="s">
        <v>726</v>
      </c>
    </row>
    <row r="623" spans="1:1" x14ac:dyDescent="0.25">
      <c r="A623" t="s">
        <v>810</v>
      </c>
    </row>
    <row r="624" spans="1:1" x14ac:dyDescent="0.25">
      <c r="A624" t="s">
        <v>811</v>
      </c>
    </row>
    <row r="625" spans="1:1" x14ac:dyDescent="0.25">
      <c r="A625" t="s">
        <v>522</v>
      </c>
    </row>
    <row r="626" spans="1:1" x14ac:dyDescent="0.25">
      <c r="A626" t="s">
        <v>238</v>
      </c>
    </row>
    <row r="627" spans="1:1" x14ac:dyDescent="0.25">
      <c r="A627" t="s">
        <v>812</v>
      </c>
    </row>
    <row r="628" spans="1:1" x14ac:dyDescent="0.25">
      <c r="A628" t="s">
        <v>813</v>
      </c>
    </row>
    <row r="629" spans="1:1" x14ac:dyDescent="0.25">
      <c r="A629" t="s">
        <v>785</v>
      </c>
    </row>
    <row r="630" spans="1:1" x14ac:dyDescent="0.25">
      <c r="A630" t="s">
        <v>814</v>
      </c>
    </row>
    <row r="631" spans="1:1" x14ac:dyDescent="0.25">
      <c r="A631" t="s">
        <v>815</v>
      </c>
    </row>
    <row r="632" spans="1:1" x14ac:dyDescent="0.25">
      <c r="A632" t="s">
        <v>816</v>
      </c>
    </row>
    <row r="633" spans="1:1" x14ac:dyDescent="0.25">
      <c r="A633" t="s">
        <v>522</v>
      </c>
    </row>
    <row r="634" spans="1:1" x14ac:dyDescent="0.25">
      <c r="A634" t="s">
        <v>238</v>
      </c>
    </row>
    <row r="635" spans="1:1" x14ac:dyDescent="0.25">
      <c r="A635" t="s">
        <v>817</v>
      </c>
    </row>
    <row r="636" spans="1:1" x14ac:dyDescent="0.25">
      <c r="A636" t="s">
        <v>585</v>
      </c>
    </row>
    <row r="637" spans="1:1" x14ac:dyDescent="0.25">
      <c r="A637" t="s">
        <v>785</v>
      </c>
    </row>
    <row r="638" spans="1:1" x14ac:dyDescent="0.25">
      <c r="A638" t="s">
        <v>818</v>
      </c>
    </row>
    <row r="639" spans="1:1" x14ac:dyDescent="0.25">
      <c r="A639" t="s">
        <v>819</v>
      </c>
    </row>
    <row r="640" spans="1:1" x14ac:dyDescent="0.25">
      <c r="A640" t="s">
        <v>573</v>
      </c>
    </row>
    <row r="641" spans="1:1" x14ac:dyDescent="0.25">
      <c r="A641" t="s">
        <v>524</v>
      </c>
    </row>
    <row r="642" spans="1:1" x14ac:dyDescent="0.25">
      <c r="A642" t="s">
        <v>523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2023-07-30T23:36:43Z</dcterms:created>
  <dcterms:modified xsi:type="dcterms:W3CDTF">2023-07-31T01:15:13Z</dcterms:modified>
</cp:coreProperties>
</file>